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<sst xmlns="http://schemas.openxmlformats.org/spreadsheetml/2006/main" count="293" uniqueCount="138">
  <si>
    <t>Employee ID</t>
  </si>
  <si>
    <t>First Name</t>
  </si>
  <si>
    <t>Last Name</t>
  </si>
  <si>
    <t>Department</t>
  </si>
  <si>
    <t>City</t>
  </si>
  <si>
    <t>Joining Date</t>
  </si>
  <si>
    <t>Basic Salary</t>
  </si>
  <si>
    <t>Allowance</t>
  </si>
  <si>
    <t>Performance %</t>
  </si>
  <si>
    <t>Phone</t>
  </si>
  <si>
    <t>Email</t>
  </si>
  <si>
    <t>Product Code</t>
  </si>
  <si>
    <t>Units Sold</t>
  </si>
  <si>
    <t>Unit Price</t>
  </si>
  <si>
    <t>Total Salary</t>
  </si>
  <si>
    <t>Incentive Rate</t>
  </si>
  <si>
    <t>Incentive</t>
  </si>
  <si>
    <t>Final Salary</t>
  </si>
  <si>
    <t>Total Sales</t>
  </si>
  <si>
    <t>Employee Name</t>
  </si>
  <si>
    <t>City Code</t>
  </si>
  <si>
    <t>Arun</t>
  </si>
  <si>
    <t>Kumar</t>
  </si>
  <si>
    <t>Sales</t>
  </si>
  <si>
    <t>Kochi</t>
  </si>
  <si>
    <t>arun.kumar@example.com</t>
  </si>
  <si>
    <t>PROD-KOC-001</t>
  </si>
  <si>
    <t>Anjali</t>
  </si>
  <si>
    <t>Nair</t>
  </si>
  <si>
    <t>HR</t>
  </si>
  <si>
    <t>Calicut</t>
  </si>
  <si>
    <t>9876543211</t>
  </si>
  <si>
    <t>anjali.nair@example.com</t>
  </si>
  <si>
    <t>PROD-CAL-002</t>
  </si>
  <si>
    <t>Rahul</t>
  </si>
  <si>
    <t>Das</t>
  </si>
  <si>
    <t>Finance</t>
  </si>
  <si>
    <t>Thrissur</t>
  </si>
  <si>
    <t>9876543212</t>
  </si>
  <si>
    <t>rahul.das@example.com</t>
  </si>
  <si>
    <t>PROD-THR-003</t>
  </si>
  <si>
    <t>Meera</t>
  </si>
  <si>
    <t>Thomas</t>
  </si>
  <si>
    <t>IT</t>
  </si>
  <si>
    <t>9876543213</t>
  </si>
  <si>
    <t>meera.thomas@example.com</t>
  </si>
  <si>
    <t>PROD-KOC-004</t>
  </si>
  <si>
    <t>Vishnu</t>
  </si>
  <si>
    <t>Raj</t>
  </si>
  <si>
    <t>Kannur</t>
  </si>
  <si>
    <t>9876543214</t>
  </si>
  <si>
    <t>vishnu.raj@example.com</t>
  </si>
  <si>
    <t>PROD-KAN-005</t>
  </si>
  <si>
    <t>Fathima</t>
  </si>
  <si>
    <t>Ali</t>
  </si>
  <si>
    <t>Marketing</t>
  </si>
  <si>
    <t>Malappuram</t>
  </si>
  <si>
    <t>9876543215</t>
  </si>
  <si>
    <t>fathima.ali@example.com</t>
  </si>
  <si>
    <t>PROD-MAL-006</t>
  </si>
  <si>
    <t>Nikhil</t>
  </si>
  <si>
    <t>S</t>
  </si>
  <si>
    <t>Bangalore</t>
  </si>
  <si>
    <t>9876543216</t>
  </si>
  <si>
    <t>nikhil.s@example.com</t>
  </si>
  <si>
    <t>PROD-BLR-007</t>
  </si>
  <si>
    <t>Devika</t>
  </si>
  <si>
    <t>Mohan</t>
  </si>
  <si>
    <t>Ernakulam</t>
  </si>
  <si>
    <t>9876543217</t>
  </si>
  <si>
    <t>devika.mohan@example.com</t>
  </si>
  <si>
    <t>PROD-ERN-008</t>
  </si>
  <si>
    <t>Sanjay</t>
  </si>
  <si>
    <t>P</t>
  </si>
  <si>
    <t>Operations</t>
  </si>
  <si>
    <t>Kollam</t>
  </si>
  <si>
    <t>9876543218</t>
  </si>
  <si>
    <t>sanjay.p@example.com</t>
  </si>
  <si>
    <t>PROD-KLM-009</t>
  </si>
  <si>
    <t>Asha</t>
  </si>
  <si>
    <t>Menon</t>
  </si>
  <si>
    <t>9876543219</t>
  </si>
  <si>
    <t>asha.menon@example.com</t>
  </si>
  <si>
    <t>PROD-KOC-010</t>
  </si>
  <si>
    <t>Jithin</t>
  </si>
  <si>
    <t>Jose</t>
  </si>
  <si>
    <t>Kottayam</t>
  </si>
  <si>
    <t>9876543220</t>
  </si>
  <si>
    <t>jithin.jose@example.com</t>
  </si>
  <si>
    <t>PROD-KTY-011</t>
  </si>
  <si>
    <t>Sneha</t>
  </si>
  <si>
    <t>R</t>
  </si>
  <si>
    <t>9876543221</t>
  </si>
  <si>
    <t>sneha.r@example.com</t>
  </si>
  <si>
    <t>PROD-KOC-012</t>
  </si>
  <si>
    <t>Column1</t>
  </si>
  <si>
    <t>Column2</t>
  </si>
  <si>
    <t>First Name2</t>
  </si>
  <si>
    <t>Last Name2</t>
  </si>
  <si>
    <t>Fullname</t>
  </si>
  <si>
    <t>with space</t>
  </si>
  <si>
    <t>Text Date</t>
  </si>
  <si>
    <t>Today</t>
  </si>
  <si>
    <t>Experience</t>
  </si>
  <si>
    <t>LEFT</t>
  </si>
  <si>
    <t>RIGHT</t>
  </si>
  <si>
    <t>MID</t>
  </si>
  <si>
    <t>performance and</t>
  </si>
  <si>
    <t>or</t>
  </si>
  <si>
    <t>hello</t>
  </si>
  <si>
    <t>match</t>
  </si>
  <si>
    <t>arun</t>
  </si>
  <si>
    <t>sneha</t>
  </si>
  <si>
    <t>index</t>
  </si>
  <si>
    <t>arun kumar</t>
  </si>
  <si>
    <t>sneha R</t>
  </si>
  <si>
    <t>v-lookup</t>
  </si>
  <si>
    <t>Name</t>
  </si>
  <si>
    <t>Salary</t>
  </si>
  <si>
    <t>anjali</t>
  </si>
  <si>
    <t>hlookup</t>
  </si>
  <si>
    <t>Column3</t>
  </si>
  <si>
    <t>Column4</t>
  </si>
  <si>
    <t>name</t>
  </si>
  <si>
    <t>Manu</t>
  </si>
  <si>
    <t>Anu</t>
  </si>
  <si>
    <t>age</t>
  </si>
  <si>
    <t>salary</t>
  </si>
  <si>
    <t>anu</t>
  </si>
  <si>
    <t>vlookup</t>
  </si>
  <si>
    <t>dept</t>
  </si>
  <si>
    <t>gopi</t>
  </si>
  <si>
    <t>cs</t>
  </si>
  <si>
    <t>neha</t>
  </si>
  <si>
    <t>mal</t>
  </si>
  <si>
    <t>vandana</t>
  </si>
  <si>
    <t>chem</t>
  </si>
  <si>
    <t>x-lookup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</si>
</sst>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[$₹-4009]#,##0.00_);[Red]\([$₹-4009]#,##0.00\)"/>
    <numFmt numFmtId="180" formatCode="[$₹-4009]#,##0_);[Red]\([$₹-4009]#,##0\)"/>
    <numFmt numFmtId="181" formatCode="dd\-mmm\-yy"/>
  </numFmts>
  <fonts count="23">
    <font>
      <sz val="11"/>
      <color theme="1"/>
      <name val="Calibri"/>
      <charset val="134"/>
      <scheme val="minor"/>
    </font>
    <font>
      <b/>
      <sz val="14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rgb="FFB7B7B7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178" fontId="2" fillId="0" borderId="2" xfId="0" applyNumberFormat="1" applyFont="1" applyFill="1" applyBorder="1" applyAlignment="1">
      <alignment horizontal="center"/>
    </xf>
    <xf numFmtId="179" fontId="2" fillId="0" borderId="2" xfId="0" applyNumberFormat="1" applyFont="1" applyFill="1" applyBorder="1" applyAlignment="1">
      <alignment horizontal="center"/>
    </xf>
    <xf numFmtId="9" fontId="2" fillId="0" borderId="2" xfId="0" applyNumberFormat="1" applyFont="1" applyFill="1" applyBorder="1" applyAlignment="1">
      <alignment horizontal="center"/>
    </xf>
    <xf numFmtId="38" fontId="3" fillId="0" borderId="2" xfId="0" applyNumberFormat="1" applyFont="1" applyFill="1" applyBorder="1" applyAlignment="1">
      <alignment horizontal="center"/>
    </xf>
    <xf numFmtId="9" fontId="3" fillId="0" borderId="2" xfId="0" applyNumberFormat="1" applyFont="1" applyFill="1" applyBorder="1" applyAlignment="1">
      <alignment horizontal="center"/>
    </xf>
    <xf numFmtId="180" fontId="3" fillId="0" borderId="2" xfId="0" applyNumberFormat="1" applyFont="1" applyFill="1" applyBorder="1" applyAlignment="1">
      <alignment horizontal="center"/>
    </xf>
    <xf numFmtId="179" fontId="3" fillId="0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15" fontId="0" fillId="0" borderId="0" xfId="0" applyNumberFormat="1">
      <alignment vertical="center"/>
    </xf>
    <xf numFmtId="58" fontId="0" fillId="0" borderId="0" xfId="0" applyNumberFormat="1">
      <alignment vertical="center"/>
    </xf>
    <xf numFmtId="0" fontId="2" fillId="0" borderId="3" xfId="0" applyFont="1" applyFill="1" applyBorder="1" applyAlignment="1">
      <alignment horizontal="center"/>
    </xf>
    <xf numFmtId="178" fontId="2" fillId="0" borderId="3" xfId="0" applyNumberFormat="1" applyFont="1" applyFill="1" applyBorder="1" applyAlignment="1">
      <alignment horizontal="center"/>
    </xf>
    <xf numFmtId="179" fontId="2" fillId="0" borderId="3" xfId="0" applyNumberFormat="1" applyFont="1" applyFill="1" applyBorder="1" applyAlignment="1">
      <alignment horizontal="center"/>
    </xf>
    <xf numFmtId="9" fontId="2" fillId="0" borderId="3" xfId="0" applyNumberFormat="1" applyFont="1" applyFill="1" applyBorder="1" applyAlignment="1">
      <alignment horizontal="center"/>
    </xf>
    <xf numFmtId="38" fontId="3" fillId="0" borderId="3" xfId="0" applyNumberFormat="1" applyFont="1" applyFill="1" applyBorder="1" applyAlignment="1">
      <alignment horizontal="center"/>
    </xf>
    <xf numFmtId="9" fontId="3" fillId="0" borderId="3" xfId="0" applyNumberFormat="1" applyFont="1" applyFill="1" applyBorder="1" applyAlignment="1">
      <alignment horizontal="center"/>
    </xf>
    <xf numFmtId="180" fontId="3" fillId="0" borderId="3" xfId="0" applyNumberFormat="1" applyFont="1" applyFill="1" applyBorder="1" applyAlignment="1">
      <alignment horizontal="center"/>
    </xf>
    <xf numFmtId="179" fontId="3" fillId="0" borderId="3" xfId="0" applyNumberFormat="1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8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1" fillId="2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9"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/>
      <border>
        <left/>
        <right/>
        <top/>
        <bottom style="thin">
          <color rgb="FFB7B7B7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/>
      <border>
        <left/>
        <right/>
        <top/>
        <bottom style="thin">
          <color rgb="FFB7B7B7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/>
      <border>
        <left/>
        <right/>
        <top/>
        <bottom style="thin">
          <color rgb="FFB7B7B7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/>
      <border>
        <left/>
        <right/>
        <top/>
        <bottom style="thin">
          <color rgb="FFB7B7B7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/>
      <border>
        <left/>
        <right/>
        <top/>
        <bottom style="thin">
          <color rgb="FFB7B7B7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178" formatCode="[$-409]d\-mmm\-yyyy;@"/>
      <fill>
        <patternFill patternType="none"/>
      </fill>
      <alignment horizontal="center"/>
      <border>
        <left/>
        <right/>
        <top/>
        <bottom style="thin">
          <color rgb="FFB7B7B7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179" formatCode="[$₹-4009]#,##0.00_);[Red]\([$₹-4009]#,##0.00\)"/>
      <fill>
        <patternFill patternType="none"/>
      </fill>
      <alignment horizontal="center"/>
      <border>
        <left/>
        <right/>
        <top/>
        <bottom style="thin">
          <color rgb="FFB7B7B7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179" formatCode="[$₹-4009]#,##0.00_);[Red]\([$₹-4009]#,##0.00\)"/>
      <fill>
        <patternFill patternType="none"/>
      </fill>
      <alignment horizontal="center"/>
      <border>
        <left/>
        <right/>
        <top/>
        <bottom style="thin">
          <color rgb="FFB7B7B7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9" formatCode="0%"/>
      <fill>
        <patternFill patternType="none"/>
      </fill>
      <alignment horizontal="center"/>
      <border>
        <left/>
        <right/>
        <top/>
        <bottom style="thin">
          <color rgb="FFB7B7B7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/>
      <border>
        <left/>
        <right/>
        <top/>
        <bottom style="thin">
          <color rgb="FFB7B7B7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/>
      <border>
        <left/>
        <right/>
        <top/>
        <bottom style="thin">
          <color rgb="FFB7B7B7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/>
      <border>
        <left/>
        <right/>
        <top/>
        <bottom style="thin">
          <color rgb="FFB7B7B7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/>
      <border>
        <left/>
        <right/>
        <top/>
        <bottom style="thin">
          <color rgb="FFB7B7B7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179" formatCode="[$₹-4009]#,##0.00_);[Red]\([$₹-4009]#,##0.00\)"/>
      <fill>
        <patternFill patternType="none"/>
      </fill>
      <alignment horizontal="center"/>
      <border>
        <left/>
        <right/>
        <top/>
        <bottom style="thin">
          <color rgb="FFB7B7B7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38" formatCode="#,##0_);[Red]\(#,##0\)"/>
      <fill>
        <patternFill patternType="none"/>
      </fill>
      <alignment horizontal="center"/>
      <border>
        <left/>
        <right/>
        <top/>
        <bottom style="thin">
          <color rgb="FFB7B7B7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/>
      <border>
        <left/>
        <right/>
        <top/>
        <bottom style="thin">
          <color rgb="FFB7B7B7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[$₹-4009]#,##0_);[Red]\([$₹-4009]#,##0\)"/>
      <fill>
        <patternFill patternType="none"/>
      </fill>
      <alignment horizontal="center"/>
      <border>
        <left/>
        <right/>
        <top/>
        <bottom style="thin">
          <color rgb="FFB7B7B7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79" formatCode="[$₹-4009]#,##0.00_);[Red]\([$₹-4009]#,##0.00\)"/>
      <fill>
        <patternFill patternType="none"/>
      </fill>
      <alignment horizontal="center"/>
      <border>
        <left/>
        <right/>
        <top/>
        <bottom style="thin">
          <color rgb="FFB7B7B7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79" formatCode="[$₹-4009]#,##0.00_);[Red]\([$₹-4009]#,##0.00\)"/>
      <fill>
        <patternFill patternType="none"/>
      </fill>
      <alignment horizontal="center"/>
      <border>
        <left/>
        <right/>
        <top/>
        <bottom style="thin">
          <color rgb="FFB7B7B7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/>
      <border>
        <left/>
        <right/>
        <top/>
        <bottom style="thin">
          <color rgb="FFB7B7B7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C000"/>
        </patternFill>
      </fill>
      <alignment horizontal="center"/>
      <border>
        <left/>
        <right/>
        <top/>
        <bottom style="thin">
          <color rgb="FFB7B7B7"/>
        </bottom>
      </border>
    </dxf>
    <dxf>
      <numFmt numFmtId="15" formatCode="d\-mmm\-yy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  <tableStyle name="PivotStylePreset2_Accent1" table="0" count="10" xr9:uid="{267968C8-6FFD-4C36-ACC1-9EA1FD1885CA}">
      <tableStyleElement type="headerRow" dxfId="38"/>
      <tableStyleElement type="totalRow" dxfId="37"/>
      <tableStyleElement type="firstRowStripe" dxfId="36"/>
      <tableStyleElement type="firstColumnStripe" dxfId="35"/>
      <tableStyleElement type="firstSubtotalRow" dxfId="34"/>
      <tableStyleElement type="secondSubtotalRow" dxfId="33"/>
      <tableStyleElement type="firstRowSubheading" dxfId="32"/>
      <tableStyleElement type="secondRowSubheading" dxfId="31"/>
      <tableStyleElement type="pageFieldLabels" dxfId="30"/>
      <tableStyleElement type="pageFieldValues" dxfId="2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U13" totalsRowShown="0">
  <autoFilter xmlns:etc="http://www.wps.cn/officeDocument/2017/etCustomData" ref="A1:U13" etc:filterBottomFollowUsedRange="0"/>
  <tableColumns count="21">
    <tableColumn id="1" name="Employee ID" dataDxfId="0"/>
    <tableColumn id="2" name="First Name" dataDxfId="1"/>
    <tableColumn id="3" name="Last Name" dataDxfId="2"/>
    <tableColumn id="4" name="Department" dataDxfId="3"/>
    <tableColumn id="5" name="City" dataDxfId="4"/>
    <tableColumn id="6" name="Joining Date" dataDxfId="5"/>
    <tableColumn id="7" name="Basic Salary" dataDxfId="6"/>
    <tableColumn id="8" name="Allowance" dataDxfId="7"/>
    <tableColumn id="9" name="Performance %" dataDxfId="8"/>
    <tableColumn id="10" name="Phone" dataDxfId="9"/>
    <tableColumn id="11" name="Email" dataDxfId="10"/>
    <tableColumn id="12" name="Product Code" dataDxfId="11"/>
    <tableColumn id="13" name="Units Sold" dataDxfId="12"/>
    <tableColumn id="14" name="Unit Price" dataDxfId="13"/>
    <tableColumn id="15" name="Total Salary" dataDxfId="14">
      <calculatedColumnFormula>G2+H2</calculatedColumnFormula>
    </tableColumn>
    <tableColumn id="16" name="Incentive Rate" dataDxfId="15"/>
    <tableColumn id="17" name="Incentive" dataDxfId="16"/>
    <tableColumn id="18" name="Final Salary" dataDxfId="17">
      <calculatedColumnFormula>O2+Q2</calculatedColumnFormula>
    </tableColumn>
    <tableColumn id="19" name="Total Sales" dataDxfId="18">
      <calculatedColumnFormula>M2*N2</calculatedColumnFormula>
    </tableColumn>
    <tableColumn id="20" name="Employee Name" dataDxfId="19">
      <calculatedColumnFormula>B2&amp;" "&amp;C2</calculatedColumnFormula>
    </tableColumn>
    <tableColumn id="21" name="City Code" dataDxfId="20">
      <calculatedColumnFormula>LEFT(E2,3)</calculatedColumnFormula>
    </tableColumn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1_3" displayName="Table1_3" ref="A1:AI14" totalsRowShown="0">
  <autoFilter xmlns:etc="http://www.wps.cn/officeDocument/2017/etCustomData" ref="A1:AI14" etc:filterBottomFollowUsedRange="0"/>
  <tableColumns count="35">
    <tableColumn id="1" name="Employee ID"/>
    <tableColumn id="2" name="First Name"/>
    <tableColumn id="3" name="Last Name"/>
    <tableColumn id="4" name="Department"/>
    <tableColumn id="5" name="City"/>
    <tableColumn id="6" name="Joining Date"/>
    <tableColumn id="7" name="Basic Salary"/>
    <tableColumn id="8" name="Allowance"/>
    <tableColumn id="9" name="Performance %"/>
    <tableColumn id="10" name="Phone"/>
    <tableColumn id="11" name="Email"/>
    <tableColumn id="12" name="Product Code"/>
    <tableColumn id="13" name="Units Sold"/>
    <tableColumn id="14" name="Unit Price"/>
    <tableColumn id="15" name="Total Salary">
      <calculatedColumnFormula>G2+H2</calculatedColumnFormula>
    </tableColumn>
    <tableColumn id="16" name="Incentive Rate"/>
    <tableColumn id="17" name="Incentive"/>
    <tableColumn id="18" name="Final Salary">
      <calculatedColumnFormula>O2+Q2</calculatedColumnFormula>
    </tableColumn>
    <tableColumn id="19" name="Total Sales">
      <calculatedColumnFormula>M2*N2</calculatedColumnFormula>
    </tableColumn>
    <tableColumn id="20" name="Employee Name">
      <calculatedColumnFormula>B2&amp;" "&amp;C2</calculatedColumnFormula>
    </tableColumn>
    <tableColumn id="21" name="City Code">
      <calculatedColumnFormula>LEFT(E2,3)</calculatedColumnFormula>
    </tableColumn>
    <tableColumn id="22" name="Column1">
      <calculatedColumnFormula>IF(O2&gt;40000,"high","low")</calculatedColumnFormula>
    </tableColumn>
    <tableColumn id="23" name="Column2">
      <calculatedColumnFormula>IF(O2&gt;40000,"high",IF(O2&gt;30000,"midium","low"))</calculatedColumnFormula>
    </tableColumn>
    <tableColumn id="24" name="First Name2"/>
    <tableColumn id="25" name="Last Name2"/>
    <tableColumn id="26" name="Fullname">
      <calculatedColumnFormula>X2&amp;Y2</calculatedColumnFormula>
    </tableColumn>
    <tableColumn id="27" name="with space">
      <calculatedColumnFormula>X2&amp;" "&amp;Y2</calculatedColumnFormula>
    </tableColumn>
    <tableColumn id="28" name="Text Date">
      <calculatedColumnFormula>TEXT(F2,"MMM-ddd-YYYY")</calculatedColumnFormula>
    </tableColumn>
    <tableColumn id="29" name="Today" dataDxfId="21">
      <calculatedColumnFormula>TODAY()</calculatedColumnFormula>
    </tableColumn>
    <tableColumn id="30" name="Experience">
      <calculatedColumnFormula>DATEDIF(F2,TODAY(),"y")</calculatedColumnFormula>
    </tableColumn>
    <tableColumn id="31" name="LEFT">
      <calculatedColumnFormula>LEFT(Z2,3)</calculatedColumnFormula>
    </tableColumn>
    <tableColumn id="32" name="RIGHT">
      <calculatedColumnFormula>RIGHT(Z2,2)</calculatedColumnFormula>
    </tableColumn>
    <tableColumn id="33" name="MID">
      <calculatedColumnFormula>MID(AA2,2,6)</calculatedColumnFormula>
    </tableColumn>
    <tableColumn id="34" name="performance and">
      <calculatedColumnFormula>IF(AND(G2&gt;30000,H2&gt;3800),"high performance","avg")</calculatedColumnFormula>
    </tableColumn>
    <tableColumn id="35" name="or">
      <calculatedColumnFormula>IF(OR(G2&gt;30000,H2&gt;5000),"high performance","avg")</calculatedColumnFormula>
    </tableColumn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B35:E38" totalsRowShown="0">
  <autoFilter xmlns:etc="http://www.wps.cn/officeDocument/2017/etCustomData" ref="B35:E38" etc:filterBottomFollowUsedRange="0"/>
  <tableColumns count="4">
    <tableColumn id="1" name="Column1"/>
    <tableColumn id="2" name="Column2"/>
    <tableColumn id="3" name="Column3"/>
    <tableColumn id="4" name="Column4"/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B47:D50" totalsRowShown="0">
  <autoFilter xmlns:etc="http://www.wps.cn/officeDocument/2017/etCustomData" ref="B47:D50" etc:filterBottomFollowUsedRange="0"/>
  <tableColumns count="3">
    <tableColumn id="1" name="name"/>
    <tableColumn id="2" name="dept"/>
    <tableColumn id="3" name="salary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"/>
  <sheetViews>
    <sheetView topLeftCell="L1" workbookViewId="0">
      <pane ySplit="1" topLeftCell="A2" activePane="bottomLeft" state="frozen"/>
      <selection/>
      <selection pane="bottomLeft" activeCell="Q21" sqref="Q21"/>
    </sheetView>
  </sheetViews>
  <sheetFormatPr defaultColWidth="8.88888888888889" defaultRowHeight="14.4"/>
  <cols>
    <col min="1" max="1" width="17.2222222222222" customWidth="1"/>
    <col min="2" max="2" width="15.8888888888889" customWidth="1"/>
    <col min="3" max="3" width="16.1111111111111" customWidth="1"/>
    <col min="4" max="4" width="17.1111111111111" customWidth="1"/>
    <col min="5" max="5" width="12.2222222222222" customWidth="1"/>
    <col min="6" max="6" width="22.7777777777778" customWidth="1"/>
    <col min="7" max="7" width="15.1111111111111" customWidth="1"/>
    <col min="8" max="8" width="17.5555555555556" customWidth="1"/>
    <col min="9" max="9" width="24.4444444444444" customWidth="1"/>
    <col min="10" max="10" width="23.6666666666667" customWidth="1"/>
    <col min="11" max="11" width="26.4444444444444" customWidth="1"/>
    <col min="12" max="12" width="24" customWidth="1"/>
    <col min="13" max="13" width="15.7777777777778" customWidth="1"/>
    <col min="14" max="14" width="16.1111111111111" customWidth="1"/>
    <col min="15" max="15" width="17.8888888888889" customWidth="1"/>
    <col min="16" max="16" width="22" customWidth="1"/>
    <col min="17" max="17" width="20.7777777777778" customWidth="1"/>
    <col min="18" max="18" width="16.1111111111111" customWidth="1"/>
    <col min="19" max="19" width="18.1111111111111" customWidth="1"/>
    <col min="20" max="20" width="24.2222222222222" customWidth="1"/>
    <col min="21" max="21" width="23.8888888888889" customWidth="1"/>
    <col min="25" max="26" width="27.5555555555556"/>
  </cols>
  <sheetData>
    <row r="1" ht="18" spans="1:21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</row>
    <row r="2" spans="1:21">
      <c r="A2" s="15">
        <v>1001</v>
      </c>
      <c r="B2" s="15" t="s">
        <v>21</v>
      </c>
      <c r="C2" s="15" t="s">
        <v>22</v>
      </c>
      <c r="D2" s="15" t="s">
        <v>23</v>
      </c>
      <c r="E2" s="15" t="s">
        <v>24</v>
      </c>
      <c r="F2" s="16">
        <v>45672</v>
      </c>
      <c r="G2" s="17">
        <v>28000</v>
      </c>
      <c r="H2" s="17">
        <v>3500</v>
      </c>
      <c r="I2" s="18">
        <v>0.82</v>
      </c>
      <c r="J2" s="15">
        <v>9876543210</v>
      </c>
      <c r="K2" s="15" t="s">
        <v>25</v>
      </c>
      <c r="L2" s="15" t="s">
        <v>26</v>
      </c>
      <c r="M2" s="15">
        <v>125</v>
      </c>
      <c r="N2" s="17">
        <v>450</v>
      </c>
      <c r="O2" s="19">
        <f>G2+H2</f>
        <v>31500</v>
      </c>
      <c r="P2" s="20">
        <v>0.05</v>
      </c>
      <c r="Q2" s="21">
        <v>1575</v>
      </c>
      <c r="R2" s="22">
        <f>O2+Q2</f>
        <v>33075</v>
      </c>
      <c r="S2" s="22">
        <f>M2*N2</f>
        <v>56250</v>
      </c>
      <c r="T2" s="23" t="str">
        <f>B2&amp;" "&amp;C2</f>
        <v>Arun Kumar</v>
      </c>
      <c r="U2" s="24" t="str">
        <f>LEFT(E2,3)</f>
        <v>Koc</v>
      </c>
    </row>
    <row r="3" spans="1:21">
      <c r="A3" s="15">
        <v>1002</v>
      </c>
      <c r="B3" s="15" t="s">
        <v>27</v>
      </c>
      <c r="C3" s="15" t="s">
        <v>28</v>
      </c>
      <c r="D3" s="15" t="s">
        <v>29</v>
      </c>
      <c r="E3" s="15" t="s">
        <v>30</v>
      </c>
      <c r="F3" s="16">
        <v>45673</v>
      </c>
      <c r="G3" s="17">
        <v>32000</v>
      </c>
      <c r="H3" s="17">
        <v>4000</v>
      </c>
      <c r="I3" s="18">
        <v>0.91</v>
      </c>
      <c r="J3" s="15" t="s">
        <v>31</v>
      </c>
      <c r="K3" s="15" t="s">
        <v>32</v>
      </c>
      <c r="L3" s="15" t="s">
        <v>33</v>
      </c>
      <c r="M3" s="15">
        <v>80</v>
      </c>
      <c r="N3" s="17">
        <v>520</v>
      </c>
      <c r="O3" s="19">
        <f>G3+H3</f>
        <v>36000</v>
      </c>
      <c r="P3" s="20">
        <v>0.05</v>
      </c>
      <c r="Q3" s="21">
        <f>O3*P2</f>
        <v>1800</v>
      </c>
      <c r="R3" s="22">
        <f>O3+Q3</f>
        <v>37800</v>
      </c>
      <c r="S3" s="22">
        <f>M3*N3</f>
        <v>41600</v>
      </c>
      <c r="T3" s="23" t="str">
        <f>B3&amp;" "&amp;C3</f>
        <v>Anjali Nair</v>
      </c>
      <c r="U3" s="24" t="str">
        <f>LEFT(E3,3)</f>
        <v>Cal</v>
      </c>
    </row>
    <row r="4" spans="1:21">
      <c r="A4" s="15">
        <v>1003</v>
      </c>
      <c r="B4" s="15" t="s">
        <v>34</v>
      </c>
      <c r="C4" s="15" t="s">
        <v>35</v>
      </c>
      <c r="D4" s="15" t="s">
        <v>36</v>
      </c>
      <c r="E4" s="15" t="s">
        <v>37</v>
      </c>
      <c r="F4" s="16">
        <v>45674</v>
      </c>
      <c r="G4" s="17">
        <v>35000</v>
      </c>
      <c r="H4" s="17">
        <v>4500</v>
      </c>
      <c r="I4" s="18">
        <v>0.76</v>
      </c>
      <c r="J4" s="15" t="s">
        <v>38</v>
      </c>
      <c r="K4" s="15" t="s">
        <v>39</v>
      </c>
      <c r="L4" s="15" t="s">
        <v>40</v>
      </c>
      <c r="M4" s="15">
        <v>95</v>
      </c>
      <c r="N4" s="17">
        <v>680</v>
      </c>
      <c r="O4" s="19">
        <f t="shared" ref="O3:O13" si="0">G4+H4</f>
        <v>39500</v>
      </c>
      <c r="P4" s="20">
        <v>0.05</v>
      </c>
      <c r="Q4" s="21">
        <f>$P$2*O4</f>
        <v>1975</v>
      </c>
      <c r="R4" s="22">
        <f t="shared" ref="R4:R13" si="1">O4+Q4</f>
        <v>41475</v>
      </c>
      <c r="S4" s="22">
        <f t="shared" ref="S4:S13" si="2">M4*N4</f>
        <v>64600</v>
      </c>
      <c r="T4" s="23" t="str">
        <f t="shared" ref="T4:T13" si="3">B4&amp;" "&amp;C4</f>
        <v>Rahul Das</v>
      </c>
      <c r="U4" s="24" t="str">
        <f t="shared" ref="U4:U13" si="4">LEFT(E4,3)</f>
        <v>Thr</v>
      </c>
    </row>
    <row r="5" spans="1:21">
      <c r="A5" s="15">
        <v>1004</v>
      </c>
      <c r="B5" s="15" t="s">
        <v>41</v>
      </c>
      <c r="C5" s="15" t="s">
        <v>42</v>
      </c>
      <c r="D5" s="15" t="s">
        <v>43</v>
      </c>
      <c r="E5" s="15" t="s">
        <v>24</v>
      </c>
      <c r="F5" s="16">
        <v>45675</v>
      </c>
      <c r="G5" s="17">
        <v>42000</v>
      </c>
      <c r="H5" s="17">
        <v>6000</v>
      </c>
      <c r="I5" s="18">
        <v>0.88</v>
      </c>
      <c r="J5" s="15" t="s">
        <v>44</v>
      </c>
      <c r="K5" s="15" t="s">
        <v>45</v>
      </c>
      <c r="L5" s="15" t="s">
        <v>46</v>
      </c>
      <c r="M5" s="15">
        <v>150</v>
      </c>
      <c r="N5" s="17">
        <v>750</v>
      </c>
      <c r="O5" s="19">
        <f t="shared" si="0"/>
        <v>48000</v>
      </c>
      <c r="P5" s="20">
        <v>0.05</v>
      </c>
      <c r="Q5" s="21">
        <f t="shared" ref="Q5:Q13" si="5">$P$2*O5</f>
        <v>2400</v>
      </c>
      <c r="R5" s="22">
        <f t="shared" si="1"/>
        <v>50400</v>
      </c>
      <c r="S5" s="22">
        <f t="shared" si="2"/>
        <v>112500</v>
      </c>
      <c r="T5" s="23" t="str">
        <f t="shared" si="3"/>
        <v>Meera Thomas</v>
      </c>
      <c r="U5" s="24" t="str">
        <f t="shared" si="4"/>
        <v>Koc</v>
      </c>
    </row>
    <row r="6" spans="1:21">
      <c r="A6" s="15">
        <v>1005</v>
      </c>
      <c r="B6" s="15" t="s">
        <v>47</v>
      </c>
      <c r="C6" s="15" t="s">
        <v>48</v>
      </c>
      <c r="D6" s="15" t="s">
        <v>23</v>
      </c>
      <c r="E6" s="15" t="s">
        <v>49</v>
      </c>
      <c r="F6" s="16">
        <v>45676</v>
      </c>
      <c r="G6" s="17">
        <v>30000</v>
      </c>
      <c r="H6" s="17">
        <v>3800</v>
      </c>
      <c r="I6" s="18">
        <v>0.69</v>
      </c>
      <c r="J6" s="15" t="s">
        <v>50</v>
      </c>
      <c r="K6" s="15" t="s">
        <v>51</v>
      </c>
      <c r="L6" s="15" t="s">
        <v>52</v>
      </c>
      <c r="M6" s="15">
        <v>110</v>
      </c>
      <c r="N6" s="17">
        <v>390</v>
      </c>
      <c r="O6" s="19">
        <f t="shared" si="0"/>
        <v>33800</v>
      </c>
      <c r="P6" s="20">
        <v>0.05</v>
      </c>
      <c r="Q6" s="21">
        <f t="shared" si="5"/>
        <v>1690</v>
      </c>
      <c r="R6" s="22">
        <f t="shared" si="1"/>
        <v>35490</v>
      </c>
      <c r="S6" s="22">
        <f t="shared" si="2"/>
        <v>42900</v>
      </c>
      <c r="T6" s="23" t="str">
        <f t="shared" si="3"/>
        <v>Vishnu Raj</v>
      </c>
      <c r="U6" s="24" t="str">
        <f t="shared" si="4"/>
        <v>Kan</v>
      </c>
    </row>
    <row r="7" spans="1:21">
      <c r="A7" s="15">
        <v>1006</v>
      </c>
      <c r="B7" s="15" t="s">
        <v>53</v>
      </c>
      <c r="C7" s="15" t="s">
        <v>54</v>
      </c>
      <c r="D7" s="15" t="s">
        <v>55</v>
      </c>
      <c r="E7" s="15" t="s">
        <v>56</v>
      </c>
      <c r="F7" s="16">
        <v>45677</v>
      </c>
      <c r="G7" s="17">
        <v>29000</v>
      </c>
      <c r="H7" s="17">
        <v>3200</v>
      </c>
      <c r="I7" s="18">
        <v>0.95</v>
      </c>
      <c r="J7" s="15" t="s">
        <v>57</v>
      </c>
      <c r="K7" s="15" t="s">
        <v>58</v>
      </c>
      <c r="L7" s="15" t="s">
        <v>59</v>
      </c>
      <c r="M7" s="15">
        <v>70</v>
      </c>
      <c r="N7" s="17">
        <v>610</v>
      </c>
      <c r="O7" s="19">
        <f t="shared" si="0"/>
        <v>32200</v>
      </c>
      <c r="P7" s="20">
        <v>0.05</v>
      </c>
      <c r="Q7" s="21">
        <f t="shared" si="5"/>
        <v>1610</v>
      </c>
      <c r="R7" s="22">
        <f t="shared" si="1"/>
        <v>33810</v>
      </c>
      <c r="S7" s="22">
        <f t="shared" si="2"/>
        <v>42700</v>
      </c>
      <c r="T7" s="23" t="str">
        <f t="shared" si="3"/>
        <v>Fathima Ali</v>
      </c>
      <c r="U7" s="24" t="str">
        <f t="shared" si="4"/>
        <v>Mal</v>
      </c>
    </row>
    <row r="8" spans="1:21">
      <c r="A8" s="15">
        <v>1007</v>
      </c>
      <c r="B8" s="15" t="s">
        <v>60</v>
      </c>
      <c r="C8" s="15" t="s">
        <v>61</v>
      </c>
      <c r="D8" s="15" t="s">
        <v>43</v>
      </c>
      <c r="E8" s="15" t="s">
        <v>62</v>
      </c>
      <c r="F8" s="16">
        <v>45678</v>
      </c>
      <c r="G8" s="17">
        <v>45000</v>
      </c>
      <c r="H8" s="17">
        <v>7000</v>
      </c>
      <c r="I8" s="18">
        <v>0.84</v>
      </c>
      <c r="J8" s="15" t="s">
        <v>63</v>
      </c>
      <c r="K8" s="15" t="s">
        <v>64</v>
      </c>
      <c r="L8" s="15" t="s">
        <v>65</v>
      </c>
      <c r="M8" s="15">
        <v>175</v>
      </c>
      <c r="N8" s="17">
        <v>820</v>
      </c>
      <c r="O8" s="19">
        <f t="shared" si="0"/>
        <v>52000</v>
      </c>
      <c r="P8" s="20">
        <v>0.05</v>
      </c>
      <c r="Q8" s="21">
        <f t="shared" si="5"/>
        <v>2600</v>
      </c>
      <c r="R8" s="22">
        <f t="shared" si="1"/>
        <v>54600</v>
      </c>
      <c r="S8" s="22">
        <f t="shared" si="2"/>
        <v>143500</v>
      </c>
      <c r="T8" s="23" t="str">
        <f t="shared" si="3"/>
        <v>Nikhil S</v>
      </c>
      <c r="U8" s="24" t="str">
        <f t="shared" si="4"/>
        <v>Ban</v>
      </c>
    </row>
    <row r="9" spans="1:21">
      <c r="A9" s="15">
        <v>1008</v>
      </c>
      <c r="B9" s="15" t="s">
        <v>66</v>
      </c>
      <c r="C9" s="15" t="s">
        <v>67</v>
      </c>
      <c r="D9" s="15" t="s">
        <v>36</v>
      </c>
      <c r="E9" s="15" t="s">
        <v>68</v>
      </c>
      <c r="F9" s="16">
        <v>45679</v>
      </c>
      <c r="G9" s="17">
        <v>37000</v>
      </c>
      <c r="H9" s="17">
        <v>5000</v>
      </c>
      <c r="I9" s="18">
        <v>0.73</v>
      </c>
      <c r="J9" s="15" t="s">
        <v>69</v>
      </c>
      <c r="K9" s="15" t="s">
        <v>70</v>
      </c>
      <c r="L9" s="15" t="s">
        <v>71</v>
      </c>
      <c r="M9" s="15">
        <v>105</v>
      </c>
      <c r="N9" s="17">
        <v>560</v>
      </c>
      <c r="O9" s="19">
        <f t="shared" si="0"/>
        <v>42000</v>
      </c>
      <c r="P9" s="20">
        <v>0.05</v>
      </c>
      <c r="Q9" s="21">
        <f t="shared" si="5"/>
        <v>2100</v>
      </c>
      <c r="R9" s="22">
        <f t="shared" si="1"/>
        <v>44100</v>
      </c>
      <c r="S9" s="22">
        <f t="shared" si="2"/>
        <v>58800</v>
      </c>
      <c r="T9" s="23" t="str">
        <f t="shared" si="3"/>
        <v>Devika Mohan</v>
      </c>
      <c r="U9" s="24" t="str">
        <f t="shared" si="4"/>
        <v>Ern</v>
      </c>
    </row>
    <row r="10" spans="1:21">
      <c r="A10" s="15">
        <v>1009</v>
      </c>
      <c r="B10" s="15" t="s">
        <v>72</v>
      </c>
      <c r="C10" s="15" t="s">
        <v>73</v>
      </c>
      <c r="D10" s="15" t="s">
        <v>74</v>
      </c>
      <c r="E10" s="15" t="s">
        <v>75</v>
      </c>
      <c r="F10" s="16">
        <v>45680</v>
      </c>
      <c r="G10" s="17">
        <v>31000</v>
      </c>
      <c r="H10" s="17">
        <v>3600</v>
      </c>
      <c r="I10" s="18">
        <v>0.87</v>
      </c>
      <c r="J10" s="15" t="s">
        <v>76</v>
      </c>
      <c r="K10" s="15" t="s">
        <v>77</v>
      </c>
      <c r="L10" s="15" t="s">
        <v>78</v>
      </c>
      <c r="M10" s="15">
        <v>130</v>
      </c>
      <c r="N10" s="17">
        <v>470</v>
      </c>
      <c r="O10" s="19">
        <f t="shared" si="0"/>
        <v>34600</v>
      </c>
      <c r="P10" s="20">
        <v>0.05</v>
      </c>
      <c r="Q10" s="21">
        <f t="shared" si="5"/>
        <v>1730</v>
      </c>
      <c r="R10" s="22">
        <f t="shared" si="1"/>
        <v>36330</v>
      </c>
      <c r="S10" s="22">
        <f t="shared" si="2"/>
        <v>61100</v>
      </c>
      <c r="T10" s="23" t="str">
        <f t="shared" si="3"/>
        <v>Sanjay P</v>
      </c>
      <c r="U10" s="24" t="str">
        <f t="shared" si="4"/>
        <v>Kol</v>
      </c>
    </row>
    <row r="11" spans="1:21">
      <c r="A11" s="15">
        <v>1010</v>
      </c>
      <c r="B11" s="15" t="s">
        <v>79</v>
      </c>
      <c r="C11" s="15" t="s">
        <v>80</v>
      </c>
      <c r="D11" s="15" t="s">
        <v>29</v>
      </c>
      <c r="E11" s="15" t="s">
        <v>24</v>
      </c>
      <c r="F11" s="16">
        <v>45681</v>
      </c>
      <c r="G11" s="17">
        <v>34000</v>
      </c>
      <c r="H11" s="17">
        <v>4200</v>
      </c>
      <c r="I11" s="18">
        <v>0.92</v>
      </c>
      <c r="J11" s="15" t="s">
        <v>81</v>
      </c>
      <c r="K11" s="15" t="s">
        <v>82</v>
      </c>
      <c r="L11" s="15" t="s">
        <v>83</v>
      </c>
      <c r="M11" s="15">
        <v>90</v>
      </c>
      <c r="N11" s="17">
        <v>640</v>
      </c>
      <c r="O11" s="19">
        <f t="shared" si="0"/>
        <v>38200</v>
      </c>
      <c r="P11" s="20">
        <v>0.05</v>
      </c>
      <c r="Q11" s="21">
        <f t="shared" si="5"/>
        <v>1910</v>
      </c>
      <c r="R11" s="22">
        <f t="shared" si="1"/>
        <v>40110</v>
      </c>
      <c r="S11" s="22">
        <f t="shared" si="2"/>
        <v>57600</v>
      </c>
      <c r="T11" s="23" t="str">
        <f t="shared" si="3"/>
        <v>Asha Menon</v>
      </c>
      <c r="U11" s="24" t="str">
        <f t="shared" si="4"/>
        <v>Koc</v>
      </c>
    </row>
    <row r="12" spans="1:21">
      <c r="A12" s="15">
        <v>1011</v>
      </c>
      <c r="B12" s="15" t="s">
        <v>84</v>
      </c>
      <c r="C12" s="15" t="s">
        <v>85</v>
      </c>
      <c r="D12" s="15" t="s">
        <v>23</v>
      </c>
      <c r="E12" s="15" t="s">
        <v>86</v>
      </c>
      <c r="F12" s="16">
        <v>45682</v>
      </c>
      <c r="G12" s="17">
        <v>27500</v>
      </c>
      <c r="H12" s="17">
        <v>3000</v>
      </c>
      <c r="I12" s="18">
        <v>0.78</v>
      </c>
      <c r="J12" s="15" t="s">
        <v>87</v>
      </c>
      <c r="K12" s="15" t="s">
        <v>88</v>
      </c>
      <c r="L12" s="15" t="s">
        <v>89</v>
      </c>
      <c r="M12" s="15">
        <v>115</v>
      </c>
      <c r="N12" s="17">
        <v>430</v>
      </c>
      <c r="O12" s="19">
        <f t="shared" si="0"/>
        <v>30500</v>
      </c>
      <c r="P12" s="20">
        <v>0.05</v>
      </c>
      <c r="Q12" s="21">
        <f t="shared" si="5"/>
        <v>1525</v>
      </c>
      <c r="R12" s="22">
        <f t="shared" si="1"/>
        <v>32025</v>
      </c>
      <c r="S12" s="22">
        <f t="shared" si="2"/>
        <v>49450</v>
      </c>
      <c r="T12" s="23" t="str">
        <f t="shared" si="3"/>
        <v>Jithin Jose</v>
      </c>
      <c r="U12" s="24" t="str">
        <f t="shared" si="4"/>
        <v>Kot</v>
      </c>
    </row>
    <row r="13" spans="1:21">
      <c r="A13" s="15">
        <v>1012</v>
      </c>
      <c r="B13" s="15" t="s">
        <v>90</v>
      </c>
      <c r="C13" s="15" t="s">
        <v>91</v>
      </c>
      <c r="D13" s="15" t="s">
        <v>55</v>
      </c>
      <c r="E13" s="15" t="s">
        <v>24</v>
      </c>
      <c r="F13" s="16">
        <v>45683</v>
      </c>
      <c r="G13" s="17">
        <v>39000</v>
      </c>
      <c r="H13" s="17">
        <v>5500</v>
      </c>
      <c r="I13" s="18">
        <v>0.86</v>
      </c>
      <c r="J13" s="15" t="s">
        <v>92</v>
      </c>
      <c r="K13" s="15" t="s">
        <v>93</v>
      </c>
      <c r="L13" s="15" t="s">
        <v>94</v>
      </c>
      <c r="M13" s="15">
        <v>145</v>
      </c>
      <c r="N13" s="17">
        <v>710</v>
      </c>
      <c r="O13" s="19">
        <f t="shared" si="0"/>
        <v>44500</v>
      </c>
      <c r="P13" s="20">
        <v>0.05</v>
      </c>
      <c r="Q13" s="21">
        <f t="shared" si="5"/>
        <v>2225</v>
      </c>
      <c r="R13" s="22">
        <f t="shared" si="1"/>
        <v>46725</v>
      </c>
      <c r="S13" s="22">
        <f t="shared" si="2"/>
        <v>102950</v>
      </c>
      <c r="T13" s="23" t="str">
        <f t="shared" si="3"/>
        <v>Sneha R</v>
      </c>
      <c r="U13" s="24" t="str">
        <f t="shared" si="4"/>
        <v>Koc</v>
      </c>
    </row>
    <row r="22" spans="19:19">
      <c r="S22" s="25"/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2"/>
  <sheetViews>
    <sheetView tabSelected="1" topLeftCell="A30" workbookViewId="0">
      <selection activeCell="C44" sqref="C44"/>
    </sheetView>
  </sheetViews>
  <sheetFormatPr defaultColWidth="8.88888888888889" defaultRowHeight="14.4"/>
  <cols>
    <col min="1" max="1" width="17.2222222222222" customWidth="1"/>
    <col min="2" max="2" width="15.8888888888889" customWidth="1"/>
    <col min="3" max="3" width="16.1111111111111" customWidth="1"/>
    <col min="4" max="4" width="17.1111111111111" customWidth="1"/>
    <col min="5" max="5" width="12.2222222222222" customWidth="1"/>
    <col min="6" max="6" width="22.7777777777778" customWidth="1"/>
    <col min="7" max="7" width="15.1111111111111" customWidth="1"/>
    <col min="8" max="8" width="17.5555555555556" customWidth="1"/>
    <col min="9" max="9" width="24.4444444444444" customWidth="1"/>
    <col min="10" max="10" width="23.6666666666667" customWidth="1"/>
    <col min="11" max="11" width="26.4444444444444" customWidth="1"/>
    <col min="12" max="12" width="24" customWidth="1"/>
    <col min="13" max="13" width="15.7777777777778" customWidth="1"/>
    <col min="14" max="14" width="16.1111111111111" customWidth="1"/>
    <col min="15" max="15" width="17.8888888888889" customWidth="1"/>
    <col min="16" max="16" width="22" customWidth="1"/>
    <col min="17" max="17" width="20.7777777777778" customWidth="1"/>
    <col min="18" max="18" width="16.1111111111111" customWidth="1"/>
    <col min="19" max="19" width="18.1111111111111" customWidth="1"/>
    <col min="20" max="20" width="24.2222222222222" customWidth="1"/>
    <col min="21" max="21" width="23.8888888888889" customWidth="1"/>
    <col min="22" max="22" width="21.5555555555556" customWidth="1"/>
    <col min="24" max="24" width="15.8888888888889" customWidth="1"/>
    <col min="25" max="26" width="27.5555555555556"/>
    <col min="27" max="27" width="23" customWidth="1"/>
    <col min="28" max="28" width="26.6666666666667" customWidth="1"/>
    <col min="29" max="29" width="10.2222222222222"/>
    <col min="30" max="30" width="18.7777777777778" customWidth="1"/>
    <col min="31" max="31" width="10.2222222222222"/>
    <col min="34" max="34" width="37.2222222222222" customWidth="1"/>
    <col min="35" max="35" width="25.7777777777778" customWidth="1"/>
    <col min="36" max="36" width="30.3333333333333" customWidth="1"/>
  </cols>
  <sheetData>
    <row r="1" customFormat="1" ht="18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t="s">
        <v>95</v>
      </c>
      <c r="W1" t="s">
        <v>96</v>
      </c>
      <c r="X1" s="1" t="s">
        <v>97</v>
      </c>
      <c r="Y1" s="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  <c r="AG1" t="s">
        <v>106</v>
      </c>
      <c r="AH1" t="s">
        <v>107</v>
      </c>
      <c r="AI1" t="s">
        <v>108</v>
      </c>
    </row>
    <row r="2" customFormat="1" spans="1:35">
      <c r="A2" s="3">
        <v>1001</v>
      </c>
      <c r="B2" s="3" t="s">
        <v>21</v>
      </c>
      <c r="C2" s="3" t="s">
        <v>22</v>
      </c>
      <c r="D2" s="3" t="s">
        <v>23</v>
      </c>
      <c r="E2" s="3" t="s">
        <v>24</v>
      </c>
      <c r="F2" s="4">
        <v>45672</v>
      </c>
      <c r="G2" s="5">
        <v>28000</v>
      </c>
      <c r="H2" s="5">
        <v>3500</v>
      </c>
      <c r="I2" s="6">
        <v>0.82</v>
      </c>
      <c r="J2" s="3">
        <v>9876543210</v>
      </c>
      <c r="K2" s="3" t="s">
        <v>25</v>
      </c>
      <c r="L2" s="3" t="s">
        <v>26</v>
      </c>
      <c r="M2" s="3">
        <v>125</v>
      </c>
      <c r="N2" s="5">
        <v>450</v>
      </c>
      <c r="O2" s="7">
        <f t="shared" ref="O2:O14" si="0">G2+H2</f>
        <v>31500</v>
      </c>
      <c r="P2" s="8">
        <v>0.05</v>
      </c>
      <c r="Q2" s="9">
        <v>1575</v>
      </c>
      <c r="R2" s="10">
        <f t="shared" ref="R2:R14" si="1">O2+Q2</f>
        <v>33075</v>
      </c>
      <c r="S2" s="10">
        <f t="shared" ref="S2:S14" si="2">M2*N2</f>
        <v>56250</v>
      </c>
      <c r="T2" s="11" t="str">
        <f t="shared" ref="T2:T14" si="3">B2&amp;" "&amp;C2</f>
        <v>Arun Kumar</v>
      </c>
      <c r="U2" s="12" t="str">
        <f t="shared" ref="U2:U14" si="4">LEFT(E2,3)</f>
        <v>Koc</v>
      </c>
      <c r="V2" t="str">
        <f t="shared" ref="V2:V14" si="5">IF(O2&gt;40000,"high","low")</f>
        <v>low</v>
      </c>
      <c r="W2" t="str">
        <f>IF(O2&gt;40000,"high",IF(O2&gt;30000,"midium","low"))</f>
        <v>midium</v>
      </c>
      <c r="X2" s="3" t="s">
        <v>21</v>
      </c>
      <c r="Y2" s="3" t="s">
        <v>22</v>
      </c>
      <c r="Z2" t="str">
        <f t="shared" ref="Z2:Z14" si="6">X2&amp;Y2</f>
        <v>ArunKumar</v>
      </c>
      <c r="AA2" t="str">
        <f t="shared" ref="AA2:AA14" si="7">X2&amp;" "&amp;Y2</f>
        <v>Arun Kumar</v>
      </c>
      <c r="AB2" t="str">
        <f t="shared" ref="AB2:AB14" si="8">TEXT(F2,"MMM-ddd-YYYY")</f>
        <v>Jan-Wed-2025</v>
      </c>
      <c r="AC2" s="13">
        <f ca="1" t="shared" ref="AC2:AC14" si="9">TODAY()</f>
        <v>46297</v>
      </c>
      <c r="AD2">
        <f ca="1" t="shared" ref="AD2:AD14" si="10">DATEDIF(F2,TODAY(),"y")</f>
        <v>1</v>
      </c>
      <c r="AE2" s="14" t="str">
        <f t="shared" ref="AE2:AE14" si="11">LEFT(Z2,3)</f>
        <v>Aru</v>
      </c>
      <c r="AF2" t="str">
        <f t="shared" ref="AF2:AF14" si="12">RIGHT(Z2,2)</f>
        <v>ar</v>
      </c>
      <c r="AG2" t="str">
        <f t="shared" ref="AG2:AG14" si="13">MID(AA2,2,6)</f>
        <v>run Ku</v>
      </c>
      <c r="AH2" t="str">
        <f>IF(AND(G2&gt;30000,H2&gt;3800),"high performance","avg")</f>
        <v>avg</v>
      </c>
      <c r="AI2" t="str">
        <f>IF(OR(G2&gt;30000,H2&gt;5000),"high performance","avg")</f>
        <v>avg</v>
      </c>
    </row>
    <row r="3" customFormat="1" spans="1:35">
      <c r="A3" s="15"/>
      <c r="B3" s="15" t="s">
        <v>27</v>
      </c>
      <c r="C3" s="15" t="s">
        <v>28</v>
      </c>
      <c r="D3" s="15" t="s">
        <v>29</v>
      </c>
      <c r="E3" s="15" t="s">
        <v>30</v>
      </c>
      <c r="F3" s="16">
        <v>45673</v>
      </c>
      <c r="G3" s="17">
        <v>32000</v>
      </c>
      <c r="H3" s="17">
        <v>4000</v>
      </c>
      <c r="I3" s="18">
        <v>0.91</v>
      </c>
      <c r="J3" s="15" t="s">
        <v>31</v>
      </c>
      <c r="K3" s="15" t="s">
        <v>32</v>
      </c>
      <c r="L3" s="15" t="s">
        <v>33</v>
      </c>
      <c r="M3" s="15">
        <v>80</v>
      </c>
      <c r="N3" s="17">
        <v>520</v>
      </c>
      <c r="O3" s="19">
        <f t="shared" si="0"/>
        <v>36000</v>
      </c>
      <c r="P3" s="20">
        <v>0.05</v>
      </c>
      <c r="Q3" s="21">
        <f>O3*P2</f>
        <v>1800</v>
      </c>
      <c r="R3" s="22">
        <f t="shared" si="1"/>
        <v>37800</v>
      </c>
      <c r="S3" s="22">
        <f t="shared" si="2"/>
        <v>41600</v>
      </c>
      <c r="T3" s="23" t="str">
        <f t="shared" si="3"/>
        <v>Anjali Nair</v>
      </c>
      <c r="U3" s="24" t="str">
        <f t="shared" si="4"/>
        <v>Cal</v>
      </c>
      <c r="V3" t="str">
        <f t="shared" si="5"/>
        <v>low</v>
      </c>
      <c r="W3" t="str">
        <f t="shared" ref="W3:W14" si="14">IF(O3&gt;40000,"high",IF(O3&gt;30000,"midium","low"))</f>
        <v>midium</v>
      </c>
      <c r="X3" s="15" t="s">
        <v>27</v>
      </c>
      <c r="Y3" s="15" t="s">
        <v>28</v>
      </c>
      <c r="Z3" t="str">
        <f t="shared" si="6"/>
        <v>AnjaliNair</v>
      </c>
      <c r="AA3" t="str">
        <f t="shared" si="7"/>
        <v>Anjali Nair</v>
      </c>
      <c r="AB3" t="str">
        <f t="shared" si="8"/>
        <v>Jan-Thu-2025</v>
      </c>
      <c r="AC3" s="13">
        <f ca="1" t="shared" si="9"/>
        <v>46297</v>
      </c>
      <c r="AD3">
        <f ca="1" t="shared" si="10"/>
        <v>1</v>
      </c>
      <c r="AE3" s="14" t="str">
        <f t="shared" si="11"/>
        <v>Anj</v>
      </c>
      <c r="AF3" t="str">
        <f t="shared" si="12"/>
        <v>ir</v>
      </c>
      <c r="AG3" t="str">
        <f t="shared" si="13"/>
        <v>njali </v>
      </c>
      <c r="AH3" t="str">
        <f t="shared" ref="AH3:AH14" si="15">IF(AND(G3&gt;30000,H3&gt;3800),"high performance","avg")</f>
        <v>high performance</v>
      </c>
      <c r="AI3" t="str">
        <f t="shared" ref="AI3:AI14" si="16">IF(OR(G3&gt;30000,H3&gt;5000),"high performance","avg")</f>
        <v>high performance</v>
      </c>
    </row>
    <row r="4" customFormat="1" spans="1:35">
      <c r="A4" s="15">
        <v>1003</v>
      </c>
      <c r="B4" s="15" t="s">
        <v>34</v>
      </c>
      <c r="C4" s="15" t="s">
        <v>35</v>
      </c>
      <c r="D4" s="15" t="s">
        <v>36</v>
      </c>
      <c r="E4" s="15" t="s">
        <v>37</v>
      </c>
      <c r="F4" s="16">
        <v>45674</v>
      </c>
      <c r="G4" s="17">
        <v>35000</v>
      </c>
      <c r="H4" s="17">
        <v>4500</v>
      </c>
      <c r="I4" s="18">
        <v>0.76</v>
      </c>
      <c r="J4" s="15" t="s">
        <v>38</v>
      </c>
      <c r="K4" s="15" t="s">
        <v>39</v>
      </c>
      <c r="L4" s="15" t="s">
        <v>40</v>
      </c>
      <c r="M4" s="15">
        <v>95</v>
      </c>
      <c r="N4" s="17">
        <v>680</v>
      </c>
      <c r="O4" s="19">
        <f t="shared" si="0"/>
        <v>39500</v>
      </c>
      <c r="P4" s="20">
        <v>0.05</v>
      </c>
      <c r="Q4" s="21">
        <f t="shared" ref="Q4:Q13" si="17">$P$2*O4</f>
        <v>1975</v>
      </c>
      <c r="R4" s="22">
        <f t="shared" si="1"/>
        <v>41475</v>
      </c>
      <c r="S4" s="22">
        <f t="shared" si="2"/>
        <v>64600</v>
      </c>
      <c r="T4" s="23" t="str">
        <f t="shared" si="3"/>
        <v>Rahul Das</v>
      </c>
      <c r="U4" s="24" t="str">
        <f t="shared" si="4"/>
        <v>Thr</v>
      </c>
      <c r="V4" t="str">
        <f t="shared" si="5"/>
        <v>low</v>
      </c>
      <c r="W4" t="str">
        <f t="shared" si="14"/>
        <v>midium</v>
      </c>
      <c r="X4" s="15" t="s">
        <v>34</v>
      </c>
      <c r="Y4" s="15" t="s">
        <v>35</v>
      </c>
      <c r="Z4" t="str">
        <f t="shared" si="6"/>
        <v>RahulDas</v>
      </c>
      <c r="AA4" t="str">
        <f t="shared" si="7"/>
        <v>Rahul Das</v>
      </c>
      <c r="AB4" t="str">
        <f t="shared" si="8"/>
        <v>Jan-Fri-2025</v>
      </c>
      <c r="AC4" s="13">
        <f ca="1" t="shared" si="9"/>
        <v>46297</v>
      </c>
      <c r="AD4">
        <f ca="1" t="shared" si="10"/>
        <v>1</v>
      </c>
      <c r="AE4" s="14" t="str">
        <f t="shared" si="11"/>
        <v>Rah</v>
      </c>
      <c r="AF4" t="str">
        <f t="shared" si="12"/>
        <v>as</v>
      </c>
      <c r="AG4" t="str">
        <f t="shared" si="13"/>
        <v>ahul D</v>
      </c>
      <c r="AH4" t="str">
        <f t="shared" si="15"/>
        <v>high performance</v>
      </c>
      <c r="AI4" t="str">
        <f t="shared" si="16"/>
        <v>high performance</v>
      </c>
    </row>
    <row r="5" customFormat="1" spans="1:35">
      <c r="A5" s="15">
        <v>1004</v>
      </c>
      <c r="B5" s="15" t="s">
        <v>41</v>
      </c>
      <c r="C5" s="15" t="s">
        <v>42</v>
      </c>
      <c r="D5" s="15" t="s">
        <v>43</v>
      </c>
      <c r="E5" s="15" t="s">
        <v>24</v>
      </c>
      <c r="F5" s="16">
        <v>45675</v>
      </c>
      <c r="G5" s="17">
        <v>42000</v>
      </c>
      <c r="H5" s="17">
        <v>6000</v>
      </c>
      <c r="I5" s="18">
        <v>0.88</v>
      </c>
      <c r="J5" s="15" t="s">
        <v>44</v>
      </c>
      <c r="K5" s="15" t="s">
        <v>45</v>
      </c>
      <c r="L5" s="15" t="s">
        <v>46</v>
      </c>
      <c r="M5" s="15">
        <v>150</v>
      </c>
      <c r="N5" s="17">
        <v>750</v>
      </c>
      <c r="O5" s="19">
        <f t="shared" si="0"/>
        <v>48000</v>
      </c>
      <c r="P5" s="20">
        <v>0.05</v>
      </c>
      <c r="Q5" s="21">
        <f t="shared" si="17"/>
        <v>2400</v>
      </c>
      <c r="R5" s="22">
        <f t="shared" si="1"/>
        <v>50400</v>
      </c>
      <c r="S5" s="22">
        <f t="shared" si="2"/>
        <v>112500</v>
      </c>
      <c r="T5" s="23" t="str">
        <f t="shared" si="3"/>
        <v>Meera Thomas</v>
      </c>
      <c r="U5" s="24" t="str">
        <f t="shared" si="4"/>
        <v>Koc</v>
      </c>
      <c r="V5" t="str">
        <f t="shared" si="5"/>
        <v>high</v>
      </c>
      <c r="W5" t="str">
        <f t="shared" si="14"/>
        <v>high</v>
      </c>
      <c r="X5" s="15" t="s">
        <v>41</v>
      </c>
      <c r="Y5" s="15" t="s">
        <v>42</v>
      </c>
      <c r="Z5" t="str">
        <f t="shared" si="6"/>
        <v>MeeraThomas</v>
      </c>
      <c r="AA5" t="str">
        <f t="shared" si="7"/>
        <v>Meera Thomas</v>
      </c>
      <c r="AB5" t="str">
        <f t="shared" si="8"/>
        <v>Jan-Sat-2025</v>
      </c>
      <c r="AC5" s="13">
        <f ca="1" t="shared" si="9"/>
        <v>46297</v>
      </c>
      <c r="AD5">
        <f ca="1" t="shared" si="10"/>
        <v>1</v>
      </c>
      <c r="AE5" s="14" t="str">
        <f t="shared" si="11"/>
        <v>Mee</v>
      </c>
      <c r="AF5" t="str">
        <f t="shared" si="12"/>
        <v>as</v>
      </c>
      <c r="AG5" t="str">
        <f t="shared" si="13"/>
        <v>eera T</v>
      </c>
      <c r="AH5" t="str">
        <f t="shared" si="15"/>
        <v>high performance</v>
      </c>
      <c r="AI5" t="str">
        <f t="shared" si="16"/>
        <v>high performance</v>
      </c>
    </row>
    <row r="6" customFormat="1" spans="1:35">
      <c r="A6" s="15" t="s">
        <v>109</v>
      </c>
      <c r="B6" s="15" t="s">
        <v>47</v>
      </c>
      <c r="C6" s="15" t="s">
        <v>48</v>
      </c>
      <c r="D6" s="15" t="s">
        <v>23</v>
      </c>
      <c r="E6" s="15" t="s">
        <v>49</v>
      </c>
      <c r="F6" s="16">
        <v>45676</v>
      </c>
      <c r="G6" s="17">
        <v>30000</v>
      </c>
      <c r="H6" s="17">
        <v>3800</v>
      </c>
      <c r="I6" s="18">
        <v>0.69</v>
      </c>
      <c r="J6" s="15" t="s">
        <v>50</v>
      </c>
      <c r="K6" s="15" t="s">
        <v>51</v>
      </c>
      <c r="L6" s="15" t="s">
        <v>52</v>
      </c>
      <c r="M6" s="15">
        <v>110</v>
      </c>
      <c r="N6" s="17">
        <v>390</v>
      </c>
      <c r="O6" s="19">
        <f t="shared" si="0"/>
        <v>33800</v>
      </c>
      <c r="P6" s="20">
        <v>0.05</v>
      </c>
      <c r="Q6" s="21">
        <f t="shared" si="17"/>
        <v>1690</v>
      </c>
      <c r="R6" s="22">
        <f t="shared" si="1"/>
        <v>35490</v>
      </c>
      <c r="S6" s="22">
        <f t="shared" si="2"/>
        <v>42900</v>
      </c>
      <c r="T6" s="23" t="str">
        <f t="shared" si="3"/>
        <v>Vishnu Raj</v>
      </c>
      <c r="U6" s="24" t="str">
        <f t="shared" si="4"/>
        <v>Kan</v>
      </c>
      <c r="V6" t="str">
        <f t="shared" si="5"/>
        <v>low</v>
      </c>
      <c r="W6" t="str">
        <f t="shared" si="14"/>
        <v>midium</v>
      </c>
      <c r="X6" s="15" t="s">
        <v>47</v>
      </c>
      <c r="Y6" s="15" t="s">
        <v>48</v>
      </c>
      <c r="Z6" t="str">
        <f t="shared" si="6"/>
        <v>VishnuRaj</v>
      </c>
      <c r="AA6" t="str">
        <f t="shared" si="7"/>
        <v>Vishnu Raj</v>
      </c>
      <c r="AB6" t="str">
        <f t="shared" si="8"/>
        <v>Jan-Sun-2025</v>
      </c>
      <c r="AC6" s="13">
        <f ca="1" t="shared" si="9"/>
        <v>46297</v>
      </c>
      <c r="AD6">
        <f ca="1" t="shared" si="10"/>
        <v>1</v>
      </c>
      <c r="AE6" s="14" t="str">
        <f t="shared" si="11"/>
        <v>Vis</v>
      </c>
      <c r="AF6" t="str">
        <f t="shared" si="12"/>
        <v>aj</v>
      </c>
      <c r="AG6" t="str">
        <f t="shared" si="13"/>
        <v>ishnu </v>
      </c>
      <c r="AH6" t="str">
        <f t="shared" si="15"/>
        <v>avg</v>
      </c>
      <c r="AI6" t="str">
        <f t="shared" si="16"/>
        <v>avg</v>
      </c>
    </row>
    <row r="7" customFormat="1" spans="1:35">
      <c r="A7" s="15">
        <v>1006</v>
      </c>
      <c r="B7" s="15" t="s">
        <v>53</v>
      </c>
      <c r="C7" s="15" t="s">
        <v>54</v>
      </c>
      <c r="D7" s="15" t="s">
        <v>55</v>
      </c>
      <c r="E7" s="15" t="s">
        <v>56</v>
      </c>
      <c r="F7" s="16">
        <v>45677</v>
      </c>
      <c r="G7" s="17">
        <v>29000</v>
      </c>
      <c r="H7" s="17">
        <v>3200</v>
      </c>
      <c r="I7" s="18">
        <v>0.95</v>
      </c>
      <c r="J7" s="15" t="s">
        <v>57</v>
      </c>
      <c r="K7" s="15" t="s">
        <v>58</v>
      </c>
      <c r="L7" s="15" t="s">
        <v>59</v>
      </c>
      <c r="M7" s="15">
        <v>70</v>
      </c>
      <c r="N7" s="17">
        <v>610</v>
      </c>
      <c r="O7" s="19">
        <f t="shared" si="0"/>
        <v>32200</v>
      </c>
      <c r="P7" s="20">
        <v>0.05</v>
      </c>
      <c r="Q7" s="21">
        <f t="shared" si="17"/>
        <v>1610</v>
      </c>
      <c r="R7" s="22">
        <f t="shared" si="1"/>
        <v>33810</v>
      </c>
      <c r="S7" s="22">
        <f t="shared" si="2"/>
        <v>42700</v>
      </c>
      <c r="T7" s="23" t="str">
        <f t="shared" si="3"/>
        <v>Fathima Ali</v>
      </c>
      <c r="U7" s="24" t="str">
        <f t="shared" si="4"/>
        <v>Mal</v>
      </c>
      <c r="V7" t="str">
        <f t="shared" si="5"/>
        <v>low</v>
      </c>
      <c r="W7" t="str">
        <f t="shared" si="14"/>
        <v>midium</v>
      </c>
      <c r="X7" s="15" t="s">
        <v>53</v>
      </c>
      <c r="Y7" s="15" t="s">
        <v>54</v>
      </c>
      <c r="Z7" t="str">
        <f t="shared" si="6"/>
        <v>FathimaAli</v>
      </c>
      <c r="AA7" t="str">
        <f t="shared" si="7"/>
        <v>Fathima Ali</v>
      </c>
      <c r="AB7" t="str">
        <f t="shared" si="8"/>
        <v>Jan-Mon-2025</v>
      </c>
      <c r="AC7" s="13">
        <f ca="1" t="shared" si="9"/>
        <v>46297</v>
      </c>
      <c r="AD7">
        <f ca="1" t="shared" si="10"/>
        <v>1</v>
      </c>
      <c r="AE7" s="14" t="str">
        <f t="shared" si="11"/>
        <v>Fat</v>
      </c>
      <c r="AF7" t="str">
        <f t="shared" si="12"/>
        <v>li</v>
      </c>
      <c r="AG7" t="str">
        <f t="shared" si="13"/>
        <v>athima</v>
      </c>
      <c r="AH7" t="str">
        <f t="shared" si="15"/>
        <v>avg</v>
      </c>
      <c r="AI7" t="str">
        <f t="shared" si="16"/>
        <v>avg</v>
      </c>
    </row>
    <row r="8" customFormat="1" spans="1:35">
      <c r="A8" s="15"/>
      <c r="B8" s="15" t="s">
        <v>60</v>
      </c>
      <c r="C8" s="15" t="s">
        <v>61</v>
      </c>
      <c r="D8" s="15" t="s">
        <v>43</v>
      </c>
      <c r="E8" s="15" t="s">
        <v>62</v>
      </c>
      <c r="F8" s="16">
        <v>45678</v>
      </c>
      <c r="G8" s="17">
        <v>45000</v>
      </c>
      <c r="H8" s="17">
        <v>7000</v>
      </c>
      <c r="I8" s="18">
        <v>0.84</v>
      </c>
      <c r="J8" s="15" t="s">
        <v>63</v>
      </c>
      <c r="K8" s="15" t="s">
        <v>64</v>
      </c>
      <c r="L8" s="15" t="s">
        <v>65</v>
      </c>
      <c r="M8" s="15">
        <v>175</v>
      </c>
      <c r="N8" s="17">
        <v>820</v>
      </c>
      <c r="O8" s="19">
        <f t="shared" si="0"/>
        <v>52000</v>
      </c>
      <c r="P8" s="20">
        <v>0.05</v>
      </c>
      <c r="Q8" s="21">
        <f t="shared" si="17"/>
        <v>2600</v>
      </c>
      <c r="R8" s="22">
        <f t="shared" si="1"/>
        <v>54600</v>
      </c>
      <c r="S8" s="22">
        <f t="shared" si="2"/>
        <v>143500</v>
      </c>
      <c r="T8" s="23" t="str">
        <f t="shared" si="3"/>
        <v>Nikhil S</v>
      </c>
      <c r="U8" s="24" t="str">
        <f t="shared" si="4"/>
        <v>Ban</v>
      </c>
      <c r="V8" t="str">
        <f t="shared" si="5"/>
        <v>high</v>
      </c>
      <c r="W8" t="str">
        <f t="shared" si="14"/>
        <v>high</v>
      </c>
      <c r="X8" s="15" t="s">
        <v>60</v>
      </c>
      <c r="Y8" s="15" t="s">
        <v>61</v>
      </c>
      <c r="Z8" t="str">
        <f t="shared" si="6"/>
        <v>NikhilS</v>
      </c>
      <c r="AA8" t="str">
        <f t="shared" si="7"/>
        <v>Nikhil S</v>
      </c>
      <c r="AB8" t="str">
        <f t="shared" si="8"/>
        <v>Jan-Tue-2025</v>
      </c>
      <c r="AC8" s="13">
        <f ca="1" t="shared" si="9"/>
        <v>46297</v>
      </c>
      <c r="AD8">
        <f ca="1" t="shared" si="10"/>
        <v>1</v>
      </c>
      <c r="AE8" s="14" t="str">
        <f t="shared" si="11"/>
        <v>Nik</v>
      </c>
      <c r="AF8" t="str">
        <f t="shared" si="12"/>
        <v>lS</v>
      </c>
      <c r="AG8" t="str">
        <f t="shared" si="13"/>
        <v>ikhil </v>
      </c>
      <c r="AH8" t="str">
        <f t="shared" si="15"/>
        <v>high performance</v>
      </c>
      <c r="AI8" t="str">
        <f t="shared" si="16"/>
        <v>high performance</v>
      </c>
    </row>
    <row r="9" customFormat="1" spans="1:35">
      <c r="A9" s="15">
        <v>1008</v>
      </c>
      <c r="B9" s="15" t="s">
        <v>66</v>
      </c>
      <c r="C9" s="15" t="s">
        <v>67</v>
      </c>
      <c r="D9" s="15" t="s">
        <v>36</v>
      </c>
      <c r="E9" s="15" t="s">
        <v>68</v>
      </c>
      <c r="F9" s="16">
        <v>45679</v>
      </c>
      <c r="G9" s="17">
        <v>37000</v>
      </c>
      <c r="H9" s="17">
        <v>5000</v>
      </c>
      <c r="I9" s="18">
        <v>0.73</v>
      </c>
      <c r="J9" s="15" t="s">
        <v>69</v>
      </c>
      <c r="K9" s="15" t="s">
        <v>70</v>
      </c>
      <c r="L9" s="15" t="s">
        <v>71</v>
      </c>
      <c r="M9" s="15">
        <v>105</v>
      </c>
      <c r="N9" s="17">
        <v>560</v>
      </c>
      <c r="O9" s="19">
        <f t="shared" si="0"/>
        <v>42000</v>
      </c>
      <c r="P9" s="20">
        <v>0.05</v>
      </c>
      <c r="Q9" s="21">
        <f t="shared" si="17"/>
        <v>2100</v>
      </c>
      <c r="R9" s="22">
        <f t="shared" si="1"/>
        <v>44100</v>
      </c>
      <c r="S9" s="22">
        <f t="shared" si="2"/>
        <v>58800</v>
      </c>
      <c r="T9" s="23" t="str">
        <f t="shared" si="3"/>
        <v>Devika Mohan</v>
      </c>
      <c r="U9" s="24" t="str">
        <f t="shared" si="4"/>
        <v>Ern</v>
      </c>
      <c r="V9" t="str">
        <f t="shared" si="5"/>
        <v>high</v>
      </c>
      <c r="W9" t="str">
        <f t="shared" si="14"/>
        <v>high</v>
      </c>
      <c r="X9" s="15" t="s">
        <v>66</v>
      </c>
      <c r="Y9" s="15" t="s">
        <v>67</v>
      </c>
      <c r="Z9" t="str">
        <f t="shared" si="6"/>
        <v>DevikaMohan</v>
      </c>
      <c r="AA9" t="str">
        <f t="shared" si="7"/>
        <v>Devika Mohan</v>
      </c>
      <c r="AB9" t="str">
        <f t="shared" si="8"/>
        <v>Jan-Wed-2025</v>
      </c>
      <c r="AC9" s="13">
        <f ca="1" t="shared" si="9"/>
        <v>46297</v>
      </c>
      <c r="AD9">
        <f ca="1" t="shared" si="10"/>
        <v>1</v>
      </c>
      <c r="AE9" s="14" t="str">
        <f t="shared" si="11"/>
        <v>Dev</v>
      </c>
      <c r="AF9" t="str">
        <f t="shared" si="12"/>
        <v>an</v>
      </c>
      <c r="AG9" t="str">
        <f t="shared" si="13"/>
        <v>evika </v>
      </c>
      <c r="AH9" t="str">
        <f t="shared" si="15"/>
        <v>high performance</v>
      </c>
      <c r="AI9" t="str">
        <f t="shared" si="16"/>
        <v>high performance</v>
      </c>
    </row>
    <row r="10" customFormat="1" spans="1:35">
      <c r="A10" s="15">
        <v>1009</v>
      </c>
      <c r="B10" s="15" t="s">
        <v>72</v>
      </c>
      <c r="C10" s="15" t="s">
        <v>73</v>
      </c>
      <c r="D10" s="15" t="s">
        <v>74</v>
      </c>
      <c r="E10" s="15" t="s">
        <v>75</v>
      </c>
      <c r="F10" s="16">
        <v>45680</v>
      </c>
      <c r="G10" s="17">
        <v>31000</v>
      </c>
      <c r="H10" s="17">
        <v>3600</v>
      </c>
      <c r="I10" s="18">
        <v>0.87</v>
      </c>
      <c r="J10" s="15" t="s">
        <v>76</v>
      </c>
      <c r="K10" s="15" t="s">
        <v>77</v>
      </c>
      <c r="L10" s="15" t="s">
        <v>78</v>
      </c>
      <c r="M10" s="15">
        <v>130</v>
      </c>
      <c r="N10" s="17">
        <v>470</v>
      </c>
      <c r="O10" s="19">
        <f t="shared" si="0"/>
        <v>34600</v>
      </c>
      <c r="P10" s="20">
        <v>0.05</v>
      </c>
      <c r="Q10" s="21">
        <f t="shared" si="17"/>
        <v>1730</v>
      </c>
      <c r="R10" s="22">
        <f t="shared" si="1"/>
        <v>36330</v>
      </c>
      <c r="S10" s="22">
        <f t="shared" si="2"/>
        <v>61100</v>
      </c>
      <c r="T10" s="23" t="str">
        <f t="shared" si="3"/>
        <v>Sanjay P</v>
      </c>
      <c r="U10" s="24" t="str">
        <f t="shared" si="4"/>
        <v>Kol</v>
      </c>
      <c r="V10" t="str">
        <f t="shared" si="5"/>
        <v>low</v>
      </c>
      <c r="W10" t="str">
        <f t="shared" si="14"/>
        <v>midium</v>
      </c>
      <c r="X10" s="15" t="s">
        <v>72</v>
      </c>
      <c r="Y10" s="15" t="s">
        <v>73</v>
      </c>
      <c r="Z10" t="str">
        <f t="shared" si="6"/>
        <v>SanjayP</v>
      </c>
      <c r="AA10" t="str">
        <f t="shared" si="7"/>
        <v>Sanjay P</v>
      </c>
      <c r="AB10" t="str">
        <f t="shared" si="8"/>
        <v>Jan-Thu-2025</v>
      </c>
      <c r="AC10" s="13">
        <f ca="1" t="shared" si="9"/>
        <v>46297</v>
      </c>
      <c r="AD10">
        <f ca="1" t="shared" si="10"/>
        <v>1</v>
      </c>
      <c r="AE10" s="14" t="str">
        <f t="shared" si="11"/>
        <v>San</v>
      </c>
      <c r="AF10" t="str">
        <f t="shared" si="12"/>
        <v>yP</v>
      </c>
      <c r="AG10" t="str">
        <f t="shared" si="13"/>
        <v>anjay </v>
      </c>
      <c r="AH10" t="str">
        <f t="shared" si="15"/>
        <v>avg</v>
      </c>
      <c r="AI10" t="str">
        <f t="shared" si="16"/>
        <v>high performance</v>
      </c>
    </row>
    <row r="11" customFormat="1" spans="1:35">
      <c r="A11" s="15">
        <v>1010</v>
      </c>
      <c r="B11" s="15" t="s">
        <v>79</v>
      </c>
      <c r="C11" s="15" t="s">
        <v>80</v>
      </c>
      <c r="D11" s="15" t="s">
        <v>29</v>
      </c>
      <c r="E11" s="15" t="s">
        <v>24</v>
      </c>
      <c r="F11" s="16">
        <v>45681</v>
      </c>
      <c r="G11" s="17">
        <v>34000</v>
      </c>
      <c r="H11" s="17">
        <v>4200</v>
      </c>
      <c r="I11" s="18">
        <v>0.92</v>
      </c>
      <c r="J11" s="15" t="s">
        <v>81</v>
      </c>
      <c r="K11" s="15" t="s">
        <v>82</v>
      </c>
      <c r="L11" s="15" t="s">
        <v>83</v>
      </c>
      <c r="M11" s="15">
        <v>90</v>
      </c>
      <c r="N11" s="17">
        <v>640</v>
      </c>
      <c r="O11" s="19">
        <f t="shared" si="0"/>
        <v>38200</v>
      </c>
      <c r="P11" s="20">
        <v>0.05</v>
      </c>
      <c r="Q11" s="21">
        <f t="shared" si="17"/>
        <v>1910</v>
      </c>
      <c r="R11" s="22">
        <f t="shared" si="1"/>
        <v>40110</v>
      </c>
      <c r="S11" s="22">
        <f t="shared" si="2"/>
        <v>57600</v>
      </c>
      <c r="T11" s="23" t="str">
        <f t="shared" si="3"/>
        <v>Asha Menon</v>
      </c>
      <c r="U11" s="24" t="str">
        <f t="shared" si="4"/>
        <v>Koc</v>
      </c>
      <c r="V11" t="str">
        <f t="shared" si="5"/>
        <v>low</v>
      </c>
      <c r="W11" t="str">
        <f t="shared" si="14"/>
        <v>midium</v>
      </c>
      <c r="X11" s="15" t="s">
        <v>79</v>
      </c>
      <c r="Y11" s="15" t="s">
        <v>80</v>
      </c>
      <c r="Z11" t="str">
        <f t="shared" si="6"/>
        <v>AshaMenon</v>
      </c>
      <c r="AA11" t="str">
        <f t="shared" si="7"/>
        <v>Asha Menon</v>
      </c>
      <c r="AB11" t="str">
        <f t="shared" si="8"/>
        <v>Jan-Fri-2025</v>
      </c>
      <c r="AC11" s="13">
        <f ca="1" t="shared" si="9"/>
        <v>46297</v>
      </c>
      <c r="AD11">
        <f ca="1" t="shared" si="10"/>
        <v>1</v>
      </c>
      <c r="AE11" s="14" t="str">
        <f t="shared" si="11"/>
        <v>Ash</v>
      </c>
      <c r="AF11" t="str">
        <f t="shared" si="12"/>
        <v>on</v>
      </c>
      <c r="AG11" t="str">
        <f t="shared" si="13"/>
        <v>sha Me</v>
      </c>
      <c r="AH11" t="str">
        <f t="shared" si="15"/>
        <v>high performance</v>
      </c>
      <c r="AI11" t="str">
        <f t="shared" si="16"/>
        <v>high performance</v>
      </c>
    </row>
    <row r="12" customFormat="1" spans="1:35">
      <c r="A12" s="15">
        <v>1011</v>
      </c>
      <c r="B12" s="15" t="s">
        <v>84</v>
      </c>
      <c r="C12" s="15" t="s">
        <v>85</v>
      </c>
      <c r="D12" s="15" t="s">
        <v>23</v>
      </c>
      <c r="E12" s="15" t="s">
        <v>86</v>
      </c>
      <c r="F12" s="16">
        <v>45682</v>
      </c>
      <c r="G12" s="17">
        <v>27500</v>
      </c>
      <c r="H12" s="17">
        <v>3000</v>
      </c>
      <c r="I12" s="18">
        <v>0.78</v>
      </c>
      <c r="J12" s="15" t="s">
        <v>87</v>
      </c>
      <c r="K12" s="15" t="s">
        <v>88</v>
      </c>
      <c r="L12" s="15" t="s">
        <v>89</v>
      </c>
      <c r="M12" s="15">
        <v>115</v>
      </c>
      <c r="N12" s="17">
        <v>430</v>
      </c>
      <c r="O12" s="19">
        <f t="shared" si="0"/>
        <v>30500</v>
      </c>
      <c r="P12" s="20">
        <v>0.05</v>
      </c>
      <c r="Q12" s="21">
        <f t="shared" si="17"/>
        <v>1525</v>
      </c>
      <c r="R12" s="22">
        <f t="shared" si="1"/>
        <v>32025</v>
      </c>
      <c r="S12" s="22">
        <f t="shared" si="2"/>
        <v>49450</v>
      </c>
      <c r="T12" s="23" t="str">
        <f t="shared" si="3"/>
        <v>Jithin Jose</v>
      </c>
      <c r="U12" s="24" t="str">
        <f t="shared" si="4"/>
        <v>Kot</v>
      </c>
      <c r="V12" t="str">
        <f t="shared" si="5"/>
        <v>low</v>
      </c>
      <c r="W12" t="str">
        <f t="shared" si="14"/>
        <v>midium</v>
      </c>
      <c r="X12" s="15" t="s">
        <v>84</v>
      </c>
      <c r="Y12" s="15" t="s">
        <v>85</v>
      </c>
      <c r="Z12" t="str">
        <f t="shared" si="6"/>
        <v>JithinJose</v>
      </c>
      <c r="AA12" t="str">
        <f t="shared" si="7"/>
        <v>Jithin Jose</v>
      </c>
      <c r="AB12" t="str">
        <f t="shared" si="8"/>
        <v>Jan-Sat-2025</v>
      </c>
      <c r="AC12" s="13">
        <f ca="1" t="shared" si="9"/>
        <v>46297</v>
      </c>
      <c r="AD12">
        <f ca="1" t="shared" si="10"/>
        <v>1</v>
      </c>
      <c r="AE12" s="14" t="str">
        <f t="shared" si="11"/>
        <v>Jit</v>
      </c>
      <c r="AF12" t="str">
        <f t="shared" si="12"/>
        <v>se</v>
      </c>
      <c r="AG12" t="str">
        <f t="shared" si="13"/>
        <v>ithin </v>
      </c>
      <c r="AH12" t="str">
        <f t="shared" si="15"/>
        <v>avg</v>
      </c>
      <c r="AI12" t="str">
        <f t="shared" si="16"/>
        <v>avg</v>
      </c>
    </row>
    <row r="13" customFormat="1" spans="1:35">
      <c r="A13" s="15">
        <v>1012</v>
      </c>
      <c r="B13" s="15" t="s">
        <v>90</v>
      </c>
      <c r="C13" s="15" t="s">
        <v>91</v>
      </c>
      <c r="D13" s="15" t="s">
        <v>55</v>
      </c>
      <c r="E13" s="15" t="s">
        <v>24</v>
      </c>
      <c r="F13" s="16">
        <v>45683</v>
      </c>
      <c r="G13" s="17">
        <v>39000</v>
      </c>
      <c r="H13" s="17">
        <v>5500</v>
      </c>
      <c r="I13" s="18">
        <v>0.86</v>
      </c>
      <c r="J13" s="15" t="s">
        <v>92</v>
      </c>
      <c r="K13" s="15" t="s">
        <v>93</v>
      </c>
      <c r="L13" s="15" t="s">
        <v>94</v>
      </c>
      <c r="M13" s="15">
        <v>145</v>
      </c>
      <c r="N13" s="17">
        <v>710</v>
      </c>
      <c r="O13" s="19">
        <f t="shared" si="0"/>
        <v>44500</v>
      </c>
      <c r="P13" s="20">
        <v>0.05</v>
      </c>
      <c r="Q13" s="21">
        <f t="shared" si="17"/>
        <v>2225</v>
      </c>
      <c r="R13" s="22">
        <f t="shared" si="1"/>
        <v>46725</v>
      </c>
      <c r="S13" s="22">
        <f t="shared" si="2"/>
        <v>102950</v>
      </c>
      <c r="T13" s="23" t="str">
        <f t="shared" si="3"/>
        <v>Sneha R</v>
      </c>
      <c r="U13" s="24" t="str">
        <f t="shared" si="4"/>
        <v>Koc</v>
      </c>
      <c r="V13" t="str">
        <f t="shared" si="5"/>
        <v>high</v>
      </c>
      <c r="W13" t="str">
        <f t="shared" si="14"/>
        <v>high</v>
      </c>
      <c r="X13" s="15" t="s">
        <v>90</v>
      </c>
      <c r="Y13" s="15" t="s">
        <v>91</v>
      </c>
      <c r="Z13" t="str">
        <f t="shared" si="6"/>
        <v>SnehaR</v>
      </c>
      <c r="AA13" t="str">
        <f t="shared" si="7"/>
        <v>Sneha R</v>
      </c>
      <c r="AB13" t="str">
        <f t="shared" si="8"/>
        <v>Jan-Sun-2025</v>
      </c>
      <c r="AC13" s="13">
        <f ca="1" t="shared" si="9"/>
        <v>46297</v>
      </c>
      <c r="AD13">
        <f ca="1" t="shared" si="10"/>
        <v>1</v>
      </c>
      <c r="AE13" s="14" t="str">
        <f t="shared" si="11"/>
        <v>Sne</v>
      </c>
      <c r="AF13" t="str">
        <f t="shared" si="12"/>
        <v>aR</v>
      </c>
      <c r="AG13" t="str">
        <f t="shared" si="13"/>
        <v>neha R</v>
      </c>
      <c r="AH13" t="str">
        <f t="shared" si="15"/>
        <v>high performance</v>
      </c>
      <c r="AI13" t="str">
        <f t="shared" si="16"/>
        <v>high performance</v>
      </c>
    </row>
    <row r="14" spans="1:35">
      <c r="O14">
        <f t="shared" si="0"/>
        <v>0</v>
      </c>
      <c r="R14">
        <f t="shared" si="1"/>
        <v>0</v>
      </c>
      <c r="S14">
        <f t="shared" si="2"/>
        <v>0</v>
      </c>
      <c r="T14" t="str">
        <f t="shared" si="3"/>
        <v> </v>
      </c>
      <c r="U14" t="str">
        <f t="shared" si="4"/>
        <v/>
      </c>
      <c r="V14" t="str">
        <f t="shared" si="5"/>
        <v>low</v>
      </c>
      <c r="Z14" t="str">
        <f t="shared" si="6"/>
        <v/>
      </c>
      <c r="AA14" t="str">
        <f t="shared" si="7"/>
        <v> </v>
      </c>
      <c r="AB14" t="str">
        <f t="shared" si="8"/>
        <v>Jan-Sat-1900</v>
      </c>
      <c r="AC14" s="13">
        <f ca="1" t="shared" si="9"/>
        <v>46297</v>
      </c>
      <c r="AD14">
        <f ca="1" t="shared" si="10"/>
        <v>126</v>
      </c>
      <c r="AE14" t="str">
        <f t="shared" si="11"/>
        <v/>
      </c>
      <c r="AF14" t="str">
        <f t="shared" si="12"/>
        <v/>
      </c>
      <c r="AG14" t="str">
        <f t="shared" si="13"/>
        <v/>
      </c>
      <c r="AH14" t="str">
        <f t="shared" si="15"/>
        <v>avg</v>
      </c>
      <c r="AI14" t="str">
        <f t="shared" si="16"/>
        <v>avg</v>
      </c>
    </row>
    <row r="15" customFormat="1" spans="1:35">
      <c r="A15">
        <f>COUNT(A2:A14)</f>
        <v>9</v>
      </c>
      <c r="E15">
        <f>COUNTIF(E2:E14,"kollam")</f>
        <v>1</v>
      </c>
      <c r="G15">
        <f>MIN(G2:G14)</f>
        <v>27500</v>
      </c>
      <c r="H15">
        <f>COUNT(H2:H14)</f>
        <v>12</v>
      </c>
    </row>
    <row r="16" customFormat="1" spans="1:35">
      <c r="A16">
        <f>COUNTA(A2:A14)</f>
        <v>10</v>
      </c>
      <c r="G16">
        <f>MAX(G2:G14)</f>
        <v>45000</v>
      </c>
      <c r="H16">
        <f>COUNTA(H2:H14)</f>
        <v>12</v>
      </c>
    </row>
    <row r="17" customFormat="1" spans="1:28">
      <c r="A17">
        <f>COUNTA(A2:A14)</f>
        <v>10</v>
      </c>
      <c r="C17" t="s">
        <v>110</v>
      </c>
      <c r="G17">
        <f>SUM(G2:G14)</f>
        <v>409500</v>
      </c>
      <c r="H17">
        <f>COUNT(H2:H14)</f>
        <v>12</v>
      </c>
    </row>
    <row r="18" customFormat="1" spans="1:28">
      <c r="A18">
        <f>COUNTBLANK(A4:A13)</f>
        <v>1</v>
      </c>
      <c r="D18">
        <f>COUNTIF(D2:D14,"HR")</f>
        <v>2</v>
      </c>
      <c r="G18">
        <f>COUNT(G2:G14)</f>
        <v>12</v>
      </c>
    </row>
    <row r="19" spans="1:28">
      <c r="B19" t="s">
        <v>111</v>
      </c>
      <c r="C19">
        <f>MATCH(B19,B2:B13,0)</f>
        <v>1</v>
      </c>
      <c r="G19">
        <f>COUNTA(G2:G14)</f>
        <v>12</v>
      </c>
      <c r="H19">
        <f>COUNTA(H2:H14)</f>
        <v>12</v>
      </c>
      <c r="V19" t="s">
        <v>110</v>
      </c>
    </row>
    <row r="20" spans="1:28">
      <c r="B20" t="s">
        <v>112</v>
      </c>
      <c r="C20">
        <f>MATCH(B20,B2:B13,0)</f>
        <v>12</v>
      </c>
    </row>
    <row r="21" spans="1:28">
      <c r="C21" t="s">
        <v>113</v>
      </c>
      <c r="G21">
        <f>COUNT(G2:G14)</f>
        <v>12</v>
      </c>
      <c r="U21">
        <f>MATCH(V21,T2:T13,0)</f>
        <v>1</v>
      </c>
      <c r="V21" t="s">
        <v>114</v>
      </c>
      <c r="Z21" t="s">
        <v>113</v>
      </c>
    </row>
    <row r="22" customFormat="1" spans="1:28">
      <c r="B22">
        <v>8</v>
      </c>
      <c r="C22" t="str" cm="1">
        <f t="array" ref="C22">INDEX(B2:B13,B22)</f>
        <v>Devika</v>
      </c>
      <c r="G22">
        <f>COUNTA(G2:G14)</f>
        <v>12</v>
      </c>
      <c r="S22" s="25"/>
      <c r="U22">
        <f>MATCH(V22,T2:T13,0)</f>
        <v>12</v>
      </c>
      <c r="V22" t="s">
        <v>115</v>
      </c>
    </row>
    <row r="23" spans="1:28">
      <c r="B23">
        <v>10</v>
      </c>
      <c r="C23" t="str" cm="1">
        <f t="array" ref="C23">INDEX(C2:C13,B23)</f>
        <v>Menon</v>
      </c>
      <c r="W23">
        <v>1</v>
      </c>
      <c r="Y23">
        <v>6</v>
      </c>
      <c r="Z23" t="str" cm="1">
        <f t="array" ref="Z23">INDEX(T2:T13,Y23)</f>
        <v>Fathima Ali</v>
      </c>
      <c r="AA23" s="14"/>
      <c r="AB23" s="26"/>
    </row>
    <row r="25" spans="1:28">
      <c r="B25" t="s">
        <v>116</v>
      </c>
    </row>
    <row r="26" spans="1:28">
      <c r="B26" t="s">
        <v>117</v>
      </c>
      <c r="C26" t="s">
        <v>118</v>
      </c>
      <c r="Y26">
        <v>3</v>
      </c>
      <c r="Z26" t="str" cm="1">
        <f t="array" ref="Z26">INDEX(T2:T13,Y26)</f>
        <v>Rahul Das</v>
      </c>
    </row>
    <row r="27" spans="1:28">
      <c r="B27" t="s">
        <v>119</v>
      </c>
      <c r="C27">
        <f>VLOOKUP(B27,B2:G14,6,0)</f>
        <v>32000</v>
      </c>
    </row>
    <row r="28" spans="1:28">
      <c r="B28" t="s">
        <v>66</v>
      </c>
      <c r="C28">
        <f>VLOOKUP(B28,B2:G13,6,FALSE)</f>
        <v>37000</v>
      </c>
      <c r="Y28">
        <v>1</v>
      </c>
      <c r="Z28" t="str" cm="1">
        <f t="array" ref="Z28">INDEX(T2:T13,Y28)</f>
        <v>Arun Kumar</v>
      </c>
    </row>
    <row r="30" spans="1:28">
      <c r="Y30">
        <v>4</v>
      </c>
      <c r="Z30" t="str" cm="1">
        <f t="array" ref="Z30">INDEX(T2:T13,Y30)</f>
        <v>Meera Thomas</v>
      </c>
    </row>
    <row r="32" spans="1:28">
      <c r="Y32">
        <v>1</v>
      </c>
      <c r="Z32" t="str" cm="1">
        <f t="array" ref="Z32">INDEX(Z2:Z13,Y32)</f>
        <v>ArunKumar</v>
      </c>
    </row>
    <row r="33" spans="2:5">
      <c r="B33" t="s">
        <v>120</v>
      </c>
    </row>
    <row r="35" spans="2:5">
      <c r="B35" t="s">
        <v>95</v>
      </c>
      <c r="C35" t="s">
        <v>96</v>
      </c>
      <c r="D35" t="s">
        <v>121</v>
      </c>
      <c r="E35" t="s">
        <v>122</v>
      </c>
    </row>
    <row r="36" spans="2:5">
      <c r="B36" t="s">
        <v>123</v>
      </c>
      <c r="C36" t="s">
        <v>124</v>
      </c>
      <c r="D36" t="s">
        <v>125</v>
      </c>
      <c r="E36" t="s">
        <v>21</v>
      </c>
    </row>
    <row r="37" spans="2:5">
      <c r="B37" t="s">
        <v>126</v>
      </c>
      <c r="C37">
        <v>18</v>
      </c>
      <c r="D37">
        <v>23</v>
      </c>
      <c r="E37">
        <v>25</v>
      </c>
    </row>
    <row r="38" spans="2:5">
      <c r="B38" t="s">
        <v>127</v>
      </c>
      <c r="C38">
        <v>20000</v>
      </c>
      <c r="D38">
        <v>30000</v>
      </c>
      <c r="E38">
        <v>50000</v>
      </c>
    </row>
    <row r="40" spans="2:5">
      <c r="B40" t="s">
        <v>117</v>
      </c>
      <c r="C40" t="s">
        <v>118</v>
      </c>
    </row>
    <row r="41" spans="2:5">
      <c r="B41" t="s">
        <v>21</v>
      </c>
      <c r="C41">
        <f>HLOOKUP(B41,B36:E38,3,FALSE)</f>
        <v>50000</v>
      </c>
    </row>
    <row r="42" spans="2:5">
      <c r="B42" t="s">
        <v>128</v>
      </c>
      <c r="C42">
        <f>HLOOKUP(B42,B36:E38,3,FALSE)</f>
        <v>30000</v>
      </c>
    </row>
    <row r="45" spans="2:5">
      <c r="B45" t="s">
        <v>129</v>
      </c>
    </row>
    <row r="47" spans="2:5">
      <c r="B47" t="s">
        <v>123</v>
      </c>
      <c r="C47" t="s">
        <v>130</v>
      </c>
      <c r="D47" t="s">
        <v>127</v>
      </c>
    </row>
    <row r="48" spans="2:5">
      <c r="B48" t="s">
        <v>131</v>
      </c>
      <c r="C48" t="s">
        <v>132</v>
      </c>
      <c r="D48">
        <v>50000</v>
      </c>
    </row>
    <row r="49" spans="2:4">
      <c r="B49" t="s">
        <v>133</v>
      </c>
      <c r="C49" t="s">
        <v>134</v>
      </c>
      <c r="D49">
        <v>30000</v>
      </c>
    </row>
    <row r="50" spans="2:4">
      <c r="B50" t="s">
        <v>135</v>
      </c>
      <c r="C50" t="s">
        <v>136</v>
      </c>
      <c r="D50">
        <v>60000</v>
      </c>
    </row>
    <row r="53" spans="2:4">
      <c r="B53" t="s">
        <v>123</v>
      </c>
      <c r="C53" t="s">
        <v>127</v>
      </c>
    </row>
    <row r="54" spans="2:4">
      <c r="B54" t="s">
        <v>131</v>
      </c>
      <c r="C54">
        <f>VLOOKUP(B54,B48:D50,3,FALSE)</f>
        <v>50000</v>
      </c>
    </row>
    <row r="58" spans="2:4">
      <c r="B58" t="s">
        <v>137</v>
      </c>
    </row>
    <row r="60" spans="2:4">
      <c r="B60" t="s">
        <v>123</v>
      </c>
      <c r="C60" t="s">
        <v>127</v>
      </c>
    </row>
    <row r="61" spans="2:4">
      <c r="B61" t="s">
        <v>133</v>
      </c>
      <c r="C61">
        <f>_xlfn.XLOOKUP(B61,B47:B50,D47:D50)</f>
        <v>30000</v>
      </c>
    </row>
    <row r="62" spans="2:4">
      <c r="B62" t="s">
        <v>131</v>
      </c>
      <c r="C62">
        <f>_xlfn.XLOOKUP(B62,B48:B50,D48:D50)</f>
        <v>50000</v>
      </c>
    </row>
  </sheetData>
  <conditionalFormatting sqref="V1:V13"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  <headerFooter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gopik</dc:creator>
  <cp:lastModifiedBy>gopik</cp:lastModifiedBy>
  <dcterms:created xsi:type="dcterms:W3CDTF">2026-09-24T09:44:00Z</dcterms:created>
  <dcterms:modified xsi:type="dcterms:W3CDTF">2026-10-02T15:55:37Z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F470A57FF74247D381C338CF3522C607_11</vt:lpwstr>
  </property>
  <property fmtid="{D5CDD505-2E9C-101B-9397-08002B2CF9AE}" pid="3" name="KSOProductBuildVer">
    <vt:lpwstr>1033-12.1.0.28096</vt:lpwstr>
  </property>
  <property fmtid="{D5CDD505-2E9C-101B-9397-08002B2CF9AE}" pid="4" name="CalculationRule">
    <vt:i4>1</vt:i4>
  </property>
</Properties>
</file>